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zt\Python_Code\Automatische Datenblatt Erzeugung V2\"/>
    </mc:Choice>
  </mc:AlternateContent>
  <xr:revisionPtr revIDLastSave="0" documentId="13_ncr:1_{56A7DDAD-782D-4797-9227-775D6B52F6E1}" xr6:coauthVersionLast="47" xr6:coauthVersionMax="47" xr10:uidLastSave="{00000000-0000-0000-0000-000000000000}"/>
  <bookViews>
    <workbookView xWindow="-120" yWindow="-120" windowWidth="29040" windowHeight="15720" xr2:uid="{6730936D-CD21-4A78-AF42-1B4B83F36B45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D51" i="1" s="1"/>
  <c r="C21" i="2" l="1"/>
  <c r="D41" i="1"/>
  <c r="D40" i="1"/>
  <c r="D39" i="1"/>
  <c r="D37" i="1"/>
  <c r="D33" i="1"/>
  <c r="C19" i="2" s="1"/>
  <c r="F13" i="2" s="1"/>
  <c r="D32" i="1"/>
  <c r="C18" i="2" s="1"/>
  <c r="F14" i="2" s="1"/>
  <c r="B37" i="1"/>
  <c r="B30" i="1"/>
  <c r="C16" i="2" s="1"/>
  <c r="C51" i="1"/>
  <c r="D44" i="1"/>
  <c r="C20" i="2"/>
  <c r="D45" i="1"/>
  <c r="D43" i="1"/>
  <c r="B43" i="1"/>
  <c r="B40" i="1"/>
  <c r="B39" i="1"/>
  <c r="D6" i="2" s="1"/>
  <c r="B34" i="1"/>
  <c r="B33" i="1"/>
  <c r="D7" i="2" s="1"/>
  <c r="B31" i="1"/>
  <c r="B7" i="2" s="1"/>
  <c r="C6" i="3"/>
  <c r="B6" i="3"/>
  <c r="D6" i="3"/>
  <c r="C17" i="2" l="1"/>
  <c r="I16" i="2" s="1"/>
  <c r="I20" i="2" s="1"/>
  <c r="F16" i="2"/>
  <c r="F17" i="2"/>
  <c r="B10" i="2"/>
  <c r="B45" i="1"/>
  <c r="C6" i="2"/>
  <c r="C8" i="2" s="1"/>
  <c r="D34" i="1"/>
  <c r="B36" i="1"/>
  <c r="B41" i="1"/>
  <c r="B32" i="1"/>
  <c r="B8" i="2" l="1"/>
  <c r="B9" i="2" s="1"/>
  <c r="D9" i="2" s="1"/>
  <c r="I18" i="2"/>
  <c r="F18" i="2"/>
  <c r="F19" i="2" s="1"/>
  <c r="F20" i="2" l="1"/>
  <c r="F21" i="2" s="1"/>
  <c r="I19" i="2"/>
  <c r="I21" i="2"/>
  <c r="C9" i="2"/>
</calcChain>
</file>

<file path=xl/sharedStrings.xml><?xml version="1.0" encoding="utf-8"?>
<sst xmlns="http://schemas.openxmlformats.org/spreadsheetml/2006/main" count="96" uniqueCount="92">
  <si>
    <t>Technische Daten:</t>
  </si>
  <si>
    <t>Schutzart</t>
  </si>
  <si>
    <t>Betriebsart</t>
  </si>
  <si>
    <t>Isolationsklasse</t>
  </si>
  <si>
    <t>Drehzahl:</t>
  </si>
  <si>
    <t>Diagrammdaten:</t>
  </si>
  <si>
    <t>p</t>
  </si>
  <si>
    <r>
      <t>R</t>
    </r>
    <r>
      <rPr>
        <sz val="5"/>
        <rFont val="Arial"/>
        <family val="2"/>
      </rPr>
      <t>U-V</t>
    </r>
    <r>
      <rPr>
        <sz val="10"/>
        <rFont val="Arial"/>
        <family val="2"/>
      </rPr>
      <t xml:space="preserve"> (Ω)</t>
    </r>
  </si>
  <si>
    <r>
      <t>I</t>
    </r>
    <r>
      <rPr>
        <sz val="5"/>
        <rFont val="Arial"/>
        <family val="2"/>
      </rPr>
      <t>max</t>
    </r>
    <r>
      <rPr>
        <sz val="10"/>
        <rFont val="Arial"/>
        <family val="2"/>
      </rPr>
      <t xml:space="preserve"> (A)</t>
    </r>
  </si>
  <si>
    <t>Berechnungsdaten:</t>
  </si>
  <si>
    <t>* Werte bei 20°C</t>
  </si>
  <si>
    <t>*** Kurzzeitbetrieb max. 3 Sekunden</t>
  </si>
  <si>
    <t>**** geschätzter Wert</t>
  </si>
  <si>
    <t>Polzahl</t>
  </si>
  <si>
    <t>Rotorträgheitsmoment, JR (kg∙cm²)</t>
  </si>
  <si>
    <t>Max. Zulässige Spannung(V)</t>
  </si>
  <si>
    <t>S1</t>
  </si>
  <si>
    <t>F</t>
  </si>
  <si>
    <t>Gewicht, m (kg)</t>
  </si>
  <si>
    <t>Technisches Datenblatt</t>
  </si>
  <si>
    <t xml:space="preserve">Erstellt durch: </t>
  </si>
  <si>
    <t>Datum:</t>
  </si>
  <si>
    <r>
      <t>Bemessungsspannung, U</t>
    </r>
    <r>
      <rPr>
        <sz val="5"/>
        <rFont val="Function"/>
      </rPr>
      <t>N</t>
    </r>
    <r>
      <rPr>
        <sz val="12"/>
        <rFont val="Function"/>
      </rPr>
      <t xml:space="preserve"> (V)</t>
    </r>
  </si>
  <si>
    <r>
      <t>Bemessungsdrehzahl, n</t>
    </r>
    <r>
      <rPr>
        <sz val="5"/>
        <rFont val="Function"/>
      </rPr>
      <t>N</t>
    </r>
    <r>
      <rPr>
        <sz val="12"/>
        <rFont val="Function"/>
      </rPr>
      <t xml:space="preserve"> (minˉ¹)</t>
    </r>
  </si>
  <si>
    <r>
      <t>Bemessungsdrehmoment, M</t>
    </r>
    <r>
      <rPr>
        <sz val="5"/>
        <rFont val="Function"/>
      </rPr>
      <t>N</t>
    </r>
    <r>
      <rPr>
        <sz val="12"/>
        <rFont val="Function"/>
      </rPr>
      <t xml:space="preserve"> (Nm)</t>
    </r>
  </si>
  <si>
    <r>
      <t>Stillstandsmoment M</t>
    </r>
    <r>
      <rPr>
        <vertAlign val="subscript"/>
        <sz val="12"/>
        <rFont val="Function"/>
      </rPr>
      <t>0</t>
    </r>
    <r>
      <rPr>
        <sz val="12"/>
        <rFont val="Function"/>
      </rPr>
      <t xml:space="preserve"> (Nm)</t>
    </r>
  </si>
  <si>
    <r>
      <t>Spitzenmoment, M</t>
    </r>
    <r>
      <rPr>
        <sz val="5"/>
        <rFont val="Function"/>
      </rPr>
      <t>max</t>
    </r>
    <r>
      <rPr>
        <sz val="12"/>
        <rFont val="Function"/>
      </rPr>
      <t xml:space="preserve"> (Nm)</t>
    </r>
  </si>
  <si>
    <r>
      <t>Bemessungsstrom, I</t>
    </r>
    <r>
      <rPr>
        <sz val="5"/>
        <rFont val="Function"/>
      </rPr>
      <t>N</t>
    </r>
    <r>
      <rPr>
        <sz val="12"/>
        <rFont val="Function"/>
      </rPr>
      <t xml:space="preserve"> (A)</t>
    </r>
  </si>
  <si>
    <r>
      <t>Stillstandsstrom I</t>
    </r>
    <r>
      <rPr>
        <vertAlign val="subscript"/>
        <sz val="12"/>
        <rFont val="Function"/>
      </rPr>
      <t>0</t>
    </r>
    <r>
      <rPr>
        <sz val="12"/>
        <rFont val="Function"/>
      </rPr>
      <t xml:space="preserve"> (A)</t>
    </r>
  </si>
  <si>
    <r>
      <t>Spitzenstrom, I</t>
    </r>
    <r>
      <rPr>
        <sz val="5"/>
        <rFont val="Function"/>
      </rPr>
      <t>max</t>
    </r>
    <r>
      <rPr>
        <sz val="12"/>
        <rFont val="Function"/>
      </rPr>
      <t xml:space="preserve"> (A)</t>
    </r>
  </si>
  <si>
    <r>
      <t>Spannungskonstante, K</t>
    </r>
    <r>
      <rPr>
        <sz val="5"/>
        <rFont val="Function"/>
      </rPr>
      <t>e</t>
    </r>
    <r>
      <rPr>
        <sz val="12"/>
        <rFont val="Function"/>
      </rPr>
      <t xml:space="preserve"> (V/1000 minˉ¹)</t>
    </r>
  </si>
  <si>
    <r>
      <t>Ständerwiederstand, R</t>
    </r>
    <r>
      <rPr>
        <sz val="5"/>
        <rFont val="Function"/>
      </rPr>
      <t>U-V</t>
    </r>
    <r>
      <rPr>
        <sz val="12"/>
        <rFont val="Function"/>
      </rPr>
      <t xml:space="preserve"> (Ω)</t>
    </r>
  </si>
  <si>
    <r>
      <t>Ständerinduktivität, L</t>
    </r>
    <r>
      <rPr>
        <sz val="5"/>
        <rFont val="Function"/>
      </rPr>
      <t>U-V</t>
    </r>
    <r>
      <rPr>
        <sz val="12"/>
        <rFont val="Function"/>
      </rPr>
      <t xml:space="preserve"> (mH)</t>
    </r>
  </si>
  <si>
    <r>
      <t>Thermische Konstante T</t>
    </r>
    <r>
      <rPr>
        <sz val="5"/>
        <rFont val="Function"/>
      </rPr>
      <t>Therm</t>
    </r>
    <r>
      <rPr>
        <sz val="12"/>
        <rFont val="Function"/>
      </rPr>
      <t xml:space="preserve"> (min)</t>
    </r>
  </si>
  <si>
    <t>** Werte bei 200 minˉ¹</t>
  </si>
  <si>
    <r>
      <t xml:space="preserve">Bezeichnung: 
</t>
    </r>
    <r>
      <rPr>
        <i/>
        <sz val="10"/>
        <rFont val="Function"/>
      </rPr>
      <t>Designation:</t>
    </r>
  </si>
  <si>
    <r>
      <rPr>
        <b/>
        <sz val="14"/>
        <rFont val="Function"/>
      </rPr>
      <t xml:space="preserve">Kennlinie Getriebemotor: </t>
    </r>
    <r>
      <rPr>
        <sz val="14"/>
        <rFont val="Function"/>
      </rPr>
      <t xml:space="preserve">
</t>
    </r>
    <r>
      <rPr>
        <i/>
        <sz val="10"/>
        <rFont val="Function"/>
      </rPr>
      <t>Characteristic Curve of Gear Motor:</t>
    </r>
  </si>
  <si>
    <t xml:space="preserve"> Data sheet</t>
  </si>
  <si>
    <r>
      <t xml:space="preserve">M_max bei 0,85*U_n
</t>
    </r>
    <r>
      <rPr>
        <i/>
        <sz val="10"/>
        <rFont val="Arial"/>
        <family val="2"/>
      </rPr>
      <t>M_max at 0.85*U_n</t>
    </r>
  </si>
  <si>
    <r>
      <t xml:space="preserve">M_n S1-Betrieb 
(Erwärmung Wicklung: Δ100K / Gehäuse: Δ80K)
</t>
    </r>
    <r>
      <rPr>
        <i/>
        <sz val="10"/>
        <rFont val="Arial"/>
        <family val="2"/>
      </rPr>
      <t>M_n S1-Duty 
(Temp.rise winding: Δ100K / housing: Δ80K)</t>
    </r>
  </si>
  <si>
    <r>
      <t>Bemessungsspannung, U</t>
    </r>
    <r>
      <rPr>
        <sz val="5"/>
        <rFont val="Function"/>
      </rPr>
      <t>N</t>
    </r>
    <r>
      <rPr>
        <sz val="12"/>
        <rFont val="Function"/>
      </rPr>
      <t xml:space="preserve"> (V)
</t>
    </r>
    <r>
      <rPr>
        <i/>
        <sz val="10"/>
        <rFont val="Function"/>
      </rPr>
      <t>Rated voltage</t>
    </r>
  </si>
  <si>
    <r>
      <t>Bemessungsdrehzahl, n</t>
    </r>
    <r>
      <rPr>
        <sz val="5"/>
        <rFont val="Function"/>
      </rPr>
      <t>N</t>
    </r>
    <r>
      <rPr>
        <sz val="12"/>
        <rFont val="Function"/>
      </rPr>
      <t xml:space="preserve"> (minˉ¹)
</t>
    </r>
    <r>
      <rPr>
        <i/>
        <sz val="10"/>
        <rFont val="Function"/>
      </rPr>
      <t>Rated speed</t>
    </r>
  </si>
  <si>
    <r>
      <t>Bemessungsleistung, P</t>
    </r>
    <r>
      <rPr>
        <sz val="5"/>
        <rFont val="Function"/>
      </rPr>
      <t>N</t>
    </r>
    <r>
      <rPr>
        <sz val="12"/>
        <rFont val="Function"/>
      </rPr>
      <t xml:space="preserve"> (kW)
</t>
    </r>
    <r>
      <rPr>
        <i/>
        <sz val="10"/>
        <rFont val="Function"/>
      </rPr>
      <t>Rated power</t>
    </r>
  </si>
  <si>
    <r>
      <t>Bemessungsdrehmoment, M</t>
    </r>
    <r>
      <rPr>
        <sz val="5"/>
        <rFont val="Function"/>
      </rPr>
      <t>N</t>
    </r>
    <r>
      <rPr>
        <sz val="12"/>
        <rFont val="Function"/>
      </rPr>
      <t xml:space="preserve"> (Nm)
</t>
    </r>
    <r>
      <rPr>
        <i/>
        <sz val="10"/>
        <rFont val="Function"/>
      </rPr>
      <t>Rated torque</t>
    </r>
  </si>
  <si>
    <r>
      <t>Bemessungsstrom, I</t>
    </r>
    <r>
      <rPr>
        <sz val="5"/>
        <rFont val="Function"/>
      </rPr>
      <t>N</t>
    </r>
    <r>
      <rPr>
        <sz val="12"/>
        <rFont val="Function"/>
      </rPr>
      <t xml:space="preserve"> (A)
</t>
    </r>
    <r>
      <rPr>
        <i/>
        <sz val="10"/>
        <rFont val="Function"/>
      </rPr>
      <t>Rated current</t>
    </r>
  </si>
  <si>
    <r>
      <t>Bemessungsdrehmomentkonstante, K</t>
    </r>
    <r>
      <rPr>
        <sz val="5"/>
        <rFont val="Function"/>
      </rPr>
      <t>TN</t>
    </r>
    <r>
      <rPr>
        <sz val="12"/>
        <rFont val="Function"/>
      </rPr>
      <t xml:space="preserve"> (Nm/Aeff) 
</t>
    </r>
    <r>
      <rPr>
        <i/>
        <sz val="10"/>
        <rFont val="Function"/>
      </rPr>
      <t xml:space="preserve">Rated torque constant </t>
    </r>
  </si>
  <si>
    <r>
      <t xml:space="preserve">Polzahl
</t>
    </r>
    <r>
      <rPr>
        <i/>
        <sz val="10"/>
        <rFont val="Function"/>
      </rPr>
      <t>Number of poles</t>
    </r>
  </si>
  <si>
    <r>
      <t>Ständerwiderstand, R</t>
    </r>
    <r>
      <rPr>
        <sz val="5"/>
        <rFont val="Function"/>
      </rPr>
      <t>U-V</t>
    </r>
    <r>
      <rPr>
        <sz val="12"/>
        <rFont val="Function"/>
      </rPr>
      <t xml:space="preserve"> (Ω)*
</t>
    </r>
    <r>
      <rPr>
        <i/>
        <sz val="10"/>
        <rFont val="Function"/>
      </rPr>
      <t>Stator resistance</t>
    </r>
  </si>
  <si>
    <r>
      <t>Ständerinduktivität, L</t>
    </r>
    <r>
      <rPr>
        <sz val="5"/>
        <rFont val="Function"/>
      </rPr>
      <t>U-V</t>
    </r>
    <r>
      <rPr>
        <sz val="12"/>
        <rFont val="Function"/>
      </rPr>
      <t xml:space="preserve"> (mH)
</t>
    </r>
    <r>
      <rPr>
        <i/>
        <sz val="10"/>
        <rFont val="Function"/>
      </rPr>
      <t>Stator inductance</t>
    </r>
  </si>
  <si>
    <r>
      <t>Elektr. Zeitkonstante, T</t>
    </r>
    <r>
      <rPr>
        <sz val="5"/>
        <rFont val="Function"/>
      </rPr>
      <t>el</t>
    </r>
    <r>
      <rPr>
        <sz val="12"/>
        <rFont val="Function"/>
      </rPr>
      <t xml:space="preserve"> (ms)
</t>
    </r>
    <r>
      <rPr>
        <i/>
        <sz val="10"/>
        <rFont val="Function"/>
      </rPr>
      <t>Electrical time constant</t>
    </r>
  </si>
  <si>
    <r>
      <t>Spannungskonstante, K</t>
    </r>
    <r>
      <rPr>
        <sz val="5"/>
        <rFont val="Function"/>
      </rPr>
      <t>e</t>
    </r>
    <r>
      <rPr>
        <sz val="12"/>
        <rFont val="Function"/>
      </rPr>
      <t xml:space="preserve"> (V/1000 minˉ¹)
</t>
    </r>
    <r>
      <rPr>
        <i/>
        <sz val="10"/>
        <rFont val="Function"/>
      </rPr>
      <t>Voltage constant</t>
    </r>
  </si>
  <si>
    <r>
      <t xml:space="preserve">Max. Zulässige Spannung(V)
</t>
    </r>
    <r>
      <rPr>
        <i/>
        <sz val="10"/>
        <rFont val="Function"/>
      </rPr>
      <t>Max. possible voltage</t>
    </r>
  </si>
  <si>
    <r>
      <t>Stillstandsmoment, M</t>
    </r>
    <r>
      <rPr>
        <sz val="5"/>
        <rFont val="Function"/>
      </rPr>
      <t>O</t>
    </r>
    <r>
      <rPr>
        <sz val="12"/>
        <rFont val="Function"/>
      </rPr>
      <t xml:space="preserve"> (Nm) **
</t>
    </r>
    <r>
      <rPr>
        <i/>
        <sz val="10"/>
        <rFont val="Function"/>
      </rPr>
      <t>Stall torque</t>
    </r>
  </si>
  <si>
    <r>
      <t xml:space="preserve">Schutzart
</t>
    </r>
    <r>
      <rPr>
        <i/>
        <sz val="10"/>
        <rFont val="Function"/>
      </rPr>
      <t>Degree of protection</t>
    </r>
  </si>
  <si>
    <r>
      <t>Stillstandsstrom, I</t>
    </r>
    <r>
      <rPr>
        <sz val="5"/>
        <rFont val="Function"/>
      </rPr>
      <t>O</t>
    </r>
    <r>
      <rPr>
        <sz val="12"/>
        <rFont val="Function"/>
      </rPr>
      <t xml:space="preserve"> (A) **
</t>
    </r>
    <r>
      <rPr>
        <i/>
        <sz val="10"/>
        <rFont val="Function"/>
      </rPr>
      <t>Stall current</t>
    </r>
  </si>
  <si>
    <r>
      <t xml:space="preserve">Betriebsart
</t>
    </r>
    <r>
      <rPr>
        <i/>
        <sz val="10"/>
        <rFont val="Function"/>
      </rPr>
      <t>Duty type</t>
    </r>
  </si>
  <si>
    <r>
      <t>Spitzenmoment, M</t>
    </r>
    <r>
      <rPr>
        <sz val="5"/>
        <rFont val="Function"/>
      </rPr>
      <t>max</t>
    </r>
    <r>
      <rPr>
        <sz val="12"/>
        <rFont val="Function"/>
      </rPr>
      <t xml:space="preserve"> (Nm) ***
</t>
    </r>
    <r>
      <rPr>
        <i/>
        <sz val="10"/>
        <rFont val="Function"/>
      </rPr>
      <t>Peak torque</t>
    </r>
  </si>
  <si>
    <r>
      <t xml:space="preserve">Isolationsklasse
</t>
    </r>
    <r>
      <rPr>
        <i/>
        <sz val="10"/>
        <rFont val="Function"/>
      </rPr>
      <t>Insulation class</t>
    </r>
  </si>
  <si>
    <r>
      <t>Rotorträgheitsmoment, J</t>
    </r>
    <r>
      <rPr>
        <sz val="5"/>
        <rFont val="Function"/>
      </rPr>
      <t>R</t>
    </r>
    <r>
      <rPr>
        <sz val="12"/>
        <rFont val="Function"/>
      </rPr>
      <t xml:space="preserve"> (kg∙cm²)
</t>
    </r>
    <r>
      <rPr>
        <i/>
        <sz val="10"/>
        <rFont val="Function"/>
      </rPr>
      <t>Rotor moment of intertia</t>
    </r>
  </si>
  <si>
    <r>
      <t>Spitzenstrom, I</t>
    </r>
    <r>
      <rPr>
        <sz val="5"/>
        <rFont val="Function"/>
      </rPr>
      <t>max</t>
    </r>
    <r>
      <rPr>
        <sz val="12"/>
        <rFont val="Function"/>
      </rPr>
      <t xml:space="preserve"> (A) ***
</t>
    </r>
    <r>
      <rPr>
        <i/>
        <sz val="10"/>
        <rFont val="Function"/>
      </rPr>
      <t>Peak current</t>
    </r>
  </si>
  <si>
    <r>
      <t xml:space="preserve">Gewicht, m (kg) 
</t>
    </r>
    <r>
      <rPr>
        <i/>
        <sz val="10"/>
        <rFont val="Function"/>
      </rPr>
      <t>Weight</t>
    </r>
  </si>
  <si>
    <r>
      <t xml:space="preserve">Spitzendrehmomentkonstante, KT </t>
    </r>
    <r>
      <rPr>
        <sz val="5"/>
        <rFont val="Function"/>
      </rPr>
      <t>max</t>
    </r>
    <r>
      <rPr>
        <sz val="12"/>
        <rFont val="Function"/>
      </rPr>
      <t xml:space="preserve"> (Nm/Aeff)
</t>
    </r>
    <r>
      <rPr>
        <i/>
        <sz val="10"/>
        <rFont val="Function"/>
      </rPr>
      <t>Peak torque constant</t>
    </r>
  </si>
  <si>
    <r>
      <t>Thermische Konstante T</t>
    </r>
    <r>
      <rPr>
        <sz val="5"/>
        <rFont val="Function"/>
      </rPr>
      <t>Therm</t>
    </r>
    <r>
      <rPr>
        <sz val="12"/>
        <rFont val="Function"/>
      </rPr>
      <t xml:space="preserve">  (min)****
</t>
    </r>
    <r>
      <rPr>
        <i/>
        <sz val="10"/>
        <rFont val="Function"/>
      </rPr>
      <t>Thermal time constant</t>
    </r>
  </si>
  <si>
    <r>
      <rPr>
        <b/>
        <sz val="12"/>
        <rFont val="Function"/>
      </rPr>
      <t>Motor:</t>
    </r>
    <r>
      <rPr>
        <sz val="12"/>
        <rFont val="Function"/>
      </rPr>
      <t xml:space="preserve"> Derating durch Getriebe und ggf. Geber und/oder Bremse berücksichtigt
</t>
    </r>
    <r>
      <rPr>
        <i/>
        <sz val="10"/>
        <rFont val="Function"/>
      </rPr>
      <t>Motor: Derating due to gearbox and, if applicable, encoder and/or brake taken into account</t>
    </r>
  </si>
  <si>
    <r>
      <t>Stillstandsdrehmomentkonstante, K</t>
    </r>
    <r>
      <rPr>
        <sz val="5"/>
        <rFont val="Function"/>
      </rPr>
      <t>TO</t>
    </r>
    <r>
      <rPr>
        <sz val="12"/>
        <rFont val="Function"/>
      </rPr>
      <t xml:space="preserve"> (Nm/A)
</t>
    </r>
    <r>
      <rPr>
        <i/>
        <sz val="10"/>
        <rFont val="Function"/>
      </rPr>
      <t>Stall torque constant</t>
    </r>
  </si>
  <si>
    <t>IP69K</t>
  </si>
  <si>
    <r>
      <rPr>
        <b/>
        <sz val="14"/>
        <rFont val="Function"/>
      </rPr>
      <t>Motor:</t>
    </r>
    <r>
      <rPr>
        <b/>
        <sz val="9"/>
        <rFont val="Function"/>
      </rPr>
      <t xml:space="preserve">
</t>
    </r>
    <r>
      <rPr>
        <i/>
        <sz val="10"/>
        <rFont val="Function"/>
      </rPr>
      <t>Motor:</t>
    </r>
  </si>
  <si>
    <t>HD</t>
  </si>
  <si>
    <t>KSY 268.40 HD  R4 / 400.0</t>
  </si>
  <si>
    <t>BOT</t>
  </si>
  <si>
    <t>K_e</t>
  </si>
  <si>
    <t>Vs</t>
  </si>
  <si>
    <t>Flussverkettung</t>
  </si>
  <si>
    <t>Bemessungs-Leiterspannung U_ph,max</t>
  </si>
  <si>
    <t>V</t>
  </si>
  <si>
    <t>omega_eck</t>
  </si>
  <si>
    <t>1/s</t>
  </si>
  <si>
    <t>n_eck</t>
  </si>
  <si>
    <t>1/min</t>
  </si>
  <si>
    <t>M_eck</t>
  </si>
  <si>
    <t>Nm</t>
  </si>
  <si>
    <t>P_eck</t>
  </si>
  <si>
    <t>W</t>
  </si>
  <si>
    <t>U (V) RMS</t>
  </si>
  <si>
    <r>
      <t>L</t>
    </r>
    <r>
      <rPr>
        <sz val="5"/>
        <rFont val="Arial"/>
        <family val="2"/>
      </rPr>
      <t>U-V</t>
    </r>
    <r>
      <rPr>
        <sz val="10"/>
        <rFont val="Arial"/>
        <family val="2"/>
      </rPr>
      <t xml:space="preserve"> (H)</t>
    </r>
  </si>
  <si>
    <t>Faktor</t>
  </si>
  <si>
    <t>Phasenwiderstand</t>
  </si>
  <si>
    <t>Ω</t>
  </si>
  <si>
    <t>Phaseninduktivität</t>
  </si>
  <si>
    <t>H</t>
  </si>
  <si>
    <t>Vs/rad</t>
  </si>
  <si>
    <r>
      <t>K</t>
    </r>
    <r>
      <rPr>
        <sz val="5"/>
        <rFont val="Arial"/>
        <family val="2"/>
      </rPr>
      <t>e</t>
    </r>
    <r>
      <rPr>
        <sz val="10"/>
        <rFont val="Arial"/>
      </rPr>
      <t xml:space="preserve"> (V/min</t>
    </r>
    <r>
      <rPr>
        <sz val="10"/>
        <rFont val="Arial"/>
        <family val="2"/>
      </rPr>
      <t>ˉ</t>
    </r>
    <r>
      <rPr>
        <sz val="10"/>
        <rFont val="Arial"/>
      </rPr>
      <t>¹)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</si>
</sst>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4" x14ac:knownFonts="1">
    <font>
      <sz val="10"/>
      <name val="Arial"/>
    </font>
    <font>
      <sz val="8"/>
      <name val="Arial"/>
      <family val="2"/>
    </font>
    <font>
      <sz val="5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name val="Function"/>
    </font>
    <font>
      <b/>
      <sz val="30"/>
      <color indexed="56"/>
      <name val="Function"/>
    </font>
    <font>
      <b/>
      <sz val="8"/>
      <name val="Function"/>
    </font>
    <font>
      <b/>
      <u/>
      <sz val="16"/>
      <name val="Function"/>
    </font>
    <font>
      <b/>
      <sz val="14"/>
      <name val="Function"/>
    </font>
    <font>
      <sz val="14"/>
      <name val="Function"/>
    </font>
    <font>
      <b/>
      <u/>
      <sz val="12"/>
      <name val="Function"/>
    </font>
    <font>
      <sz val="12"/>
      <name val="Function"/>
    </font>
    <font>
      <sz val="5"/>
      <name val="Function"/>
    </font>
    <font>
      <vertAlign val="subscript"/>
      <sz val="12"/>
      <name val="Function"/>
    </font>
    <font>
      <b/>
      <u/>
      <sz val="14"/>
      <name val="Function"/>
    </font>
    <font>
      <b/>
      <sz val="12"/>
      <name val="Function"/>
    </font>
    <font>
      <b/>
      <sz val="26"/>
      <color rgb="FF002D51"/>
      <name val="Function"/>
    </font>
    <font>
      <i/>
      <sz val="10"/>
      <name val="Function"/>
    </font>
    <font>
      <b/>
      <sz val="9"/>
      <name val="Function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2" fontId="4" fillId="0" borderId="0" xfId="0" applyNumberFormat="1" applyFont="1" applyAlignment="1">
      <alignment horizontal="right"/>
    </xf>
    <xf numFmtId="0" fontId="6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7" fillId="0" borderId="0" xfId="0" applyFont="1" applyAlignment="1">
      <alignment horizontal="right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8" fillId="0" borderId="0" xfId="0" applyFont="1"/>
    <xf numFmtId="2" fontId="8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11" fillId="0" borderId="0" xfId="0" applyFont="1"/>
    <xf numFmtId="0" fontId="8" fillId="0" borderId="6" xfId="0" applyFont="1" applyBorder="1"/>
    <xf numFmtId="0" fontId="8" fillId="0" borderId="12" xfId="0" applyFont="1" applyBorder="1" applyAlignment="1">
      <alignment horizontal="center"/>
    </xf>
    <xf numFmtId="14" fontId="8" fillId="0" borderId="12" xfId="0" applyNumberFormat="1" applyFont="1" applyBorder="1" applyAlignment="1">
      <alignment horizontal="center"/>
    </xf>
    <xf numFmtId="0" fontId="13" fillId="0" borderId="0" xfId="0" applyFont="1"/>
    <xf numFmtId="0" fontId="14" fillId="0" borderId="5" xfId="0" applyFont="1" applyBorder="1"/>
    <xf numFmtId="0" fontId="8" fillId="3" borderId="0" xfId="0" applyFont="1" applyFill="1" applyAlignment="1">
      <alignment textRotation="45"/>
    </xf>
    <xf numFmtId="2" fontId="12" fillId="0" borderId="0" xfId="0" applyNumberFormat="1" applyFont="1"/>
    <xf numFmtId="0" fontId="15" fillId="2" borderId="2" xfId="0" applyFont="1" applyFill="1" applyBorder="1"/>
    <xf numFmtId="0" fontId="8" fillId="4" borderId="10" xfId="0" applyFont="1" applyFill="1" applyBorder="1" applyAlignment="1">
      <alignment horizontal="center"/>
    </xf>
    <xf numFmtId="0" fontId="15" fillId="2" borderId="3" xfId="0" applyFont="1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5" fillId="0" borderId="8" xfId="0" applyFont="1" applyBorder="1" applyAlignment="1">
      <alignment vertical="top"/>
    </xf>
    <xf numFmtId="0" fontId="8" fillId="4" borderId="1" xfId="0" applyFont="1" applyFill="1" applyBorder="1" applyAlignment="1">
      <alignment horizontal="center"/>
    </xf>
    <xf numFmtId="2" fontId="15" fillId="2" borderId="4" xfId="0" applyNumberFormat="1" applyFont="1" applyFill="1" applyBorder="1" applyAlignment="1">
      <alignment horizontal="left"/>
    </xf>
    <xf numFmtId="0" fontId="8" fillId="4" borderId="11" xfId="0" applyFont="1" applyFill="1" applyBorder="1" applyAlignment="1">
      <alignment horizontal="center"/>
    </xf>
    <xf numFmtId="0" fontId="8" fillId="0" borderId="5" xfId="0" applyFont="1" applyBorder="1" applyAlignment="1">
      <alignment horizontal="center" textRotation="135"/>
    </xf>
    <xf numFmtId="0" fontId="8" fillId="0" borderId="0" xfId="0" applyFont="1" applyAlignment="1">
      <alignment horizontal="center" textRotation="135"/>
    </xf>
    <xf numFmtId="0" fontId="15" fillId="0" borderId="7" xfId="0" applyFont="1" applyBorder="1"/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8" xfId="0" applyFont="1" applyBorder="1"/>
    <xf numFmtId="2" fontId="15" fillId="0" borderId="0" xfId="0" applyNumberFormat="1" applyFont="1" applyAlignment="1">
      <alignment horizontal="center"/>
    </xf>
    <xf numFmtId="2" fontId="15" fillId="0" borderId="0" xfId="0" applyNumberFormat="1" applyFont="1"/>
    <xf numFmtId="0" fontId="15" fillId="0" borderId="8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vertical="top" wrapText="1"/>
    </xf>
    <xf numFmtId="0" fontId="15" fillId="0" borderId="0" xfId="0" applyFont="1" applyAlignment="1">
      <alignment vertical="center" wrapText="1"/>
    </xf>
    <xf numFmtId="0" fontId="15" fillId="0" borderId="13" xfId="0" applyFont="1" applyBorder="1" applyAlignment="1">
      <alignment wrapText="1"/>
    </xf>
    <xf numFmtId="0" fontId="15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/>
    </xf>
    <xf numFmtId="0" fontId="15" fillId="5" borderId="1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8" fillId="6" borderId="0" xfId="0" applyFont="1" applyFill="1"/>
    <xf numFmtId="0" fontId="12" fillId="6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1" fontId="15" fillId="5" borderId="14" xfId="0" applyNumberFormat="1" applyFont="1" applyFill="1" applyBorder="1" applyAlignment="1">
      <alignment horizontal="center" vertical="center"/>
    </xf>
    <xf numFmtId="2" fontId="15" fillId="5" borderId="15" xfId="0" applyNumberFormat="1" applyFont="1" applyFill="1" applyBorder="1" applyAlignment="1">
      <alignment horizontal="center" vertical="center"/>
    </xf>
    <xf numFmtId="2" fontId="15" fillId="5" borderId="15" xfId="0" applyNumberFormat="1" applyFont="1" applyFill="1" applyBorder="1" applyAlignment="1">
      <alignment horizontal="center" vertical="center" wrapText="1"/>
    </xf>
    <xf numFmtId="2" fontId="15" fillId="5" borderId="16" xfId="0" applyNumberFormat="1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2" fontId="15" fillId="5" borderId="17" xfId="0" applyNumberFormat="1" applyFont="1" applyFill="1" applyBorder="1" applyAlignment="1">
      <alignment vertical="center"/>
    </xf>
    <xf numFmtId="2" fontId="15" fillId="5" borderId="18" xfId="0" applyNumberFormat="1" applyFont="1" applyFill="1" applyBorder="1" applyAlignment="1">
      <alignment vertical="center"/>
    </xf>
    <xf numFmtId="0" fontId="15" fillId="5" borderId="17" xfId="0" applyFont="1" applyFill="1" applyBorder="1" applyAlignment="1">
      <alignment horizontal="center" vertical="center"/>
    </xf>
    <xf numFmtId="0" fontId="15" fillId="0" borderId="7" xfId="0" applyFont="1" applyBorder="1" applyAlignment="1">
      <alignment wrapText="1"/>
    </xf>
    <xf numFmtId="0" fontId="15" fillId="0" borderId="8" xfId="0" applyFont="1" applyBorder="1" applyAlignment="1">
      <alignment vertical="center" wrapText="1"/>
    </xf>
    <xf numFmtId="0" fontId="22" fillId="6" borderId="0" xfId="0" applyFont="1" applyFill="1" applyAlignment="1">
      <alignment wrapText="1"/>
    </xf>
    <xf numFmtId="165" fontId="0" fillId="0" borderId="0" xfId="0" applyNumberFormat="1"/>
    <xf numFmtId="2" fontId="12" fillId="0" borderId="21" xfId="0" applyNumberFormat="1" applyFont="1" applyBorder="1"/>
    <xf numFmtId="0" fontId="8" fillId="0" borderId="22" xfId="0" applyFont="1" applyBorder="1"/>
    <xf numFmtId="2" fontId="8" fillId="0" borderId="23" xfId="0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0" fontId="18" fillId="0" borderId="22" xfId="0" applyFont="1" applyBorder="1"/>
    <xf numFmtId="0" fontId="8" fillId="0" borderId="24" xfId="0" applyFont="1" applyBorder="1" applyAlignment="1">
      <alignment horizontal="center" textRotation="135"/>
    </xf>
    <xf numFmtId="0" fontId="19" fillId="0" borderId="22" xfId="0" applyFont="1" applyBorder="1" applyAlignment="1">
      <alignment wrapText="1"/>
    </xf>
    <xf numFmtId="0" fontId="19" fillId="0" borderId="0" xfId="0" applyFont="1" applyAlignment="1">
      <alignment wrapText="1"/>
    </xf>
    <xf numFmtId="0" fontId="15" fillId="0" borderId="23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2" fontId="8" fillId="0" borderId="23" xfId="0" applyNumberFormat="1" applyFont="1" applyBorder="1" applyAlignment="1">
      <alignment horizontal="center"/>
    </xf>
    <xf numFmtId="14" fontId="8" fillId="0" borderId="23" xfId="0" applyNumberFormat="1" applyFont="1" applyBorder="1" applyAlignment="1">
      <alignment horizontal="right"/>
    </xf>
    <xf numFmtId="0" fontId="8" fillId="0" borderId="25" xfId="0" applyFont="1" applyBorder="1"/>
    <xf numFmtId="2" fontId="8" fillId="0" borderId="5" xfId="0" applyNumberFormat="1" applyFont="1" applyBorder="1" applyAlignment="1">
      <alignment horizontal="right"/>
    </xf>
    <xf numFmtId="0" fontId="8" fillId="0" borderId="5" xfId="0" applyFont="1" applyBorder="1"/>
    <xf numFmtId="2" fontId="8" fillId="0" borderId="24" xfId="0" applyNumberFormat="1" applyFont="1" applyBorder="1" applyAlignment="1">
      <alignment horizontal="right"/>
    </xf>
    <xf numFmtId="0" fontId="15" fillId="5" borderId="22" xfId="0" applyFont="1" applyFill="1" applyBorder="1" applyAlignment="1">
      <alignment horizontal="left" vertical="top" wrapText="1"/>
    </xf>
    <xf numFmtId="0" fontId="15" fillId="5" borderId="0" xfId="0" applyFont="1" applyFill="1" applyAlignment="1">
      <alignment horizontal="left" vertical="top" wrapText="1"/>
    </xf>
    <xf numFmtId="0" fontId="15" fillId="5" borderId="23" xfId="0" applyFont="1" applyFill="1" applyBorder="1" applyAlignment="1">
      <alignment horizontal="left" vertical="top" wrapText="1"/>
    </xf>
    <xf numFmtId="0" fontId="20" fillId="6" borderId="0" xfId="0" applyFont="1" applyFill="1"/>
    <xf numFmtId="2" fontId="13" fillId="6" borderId="19" xfId="0" applyNumberFormat="1" applyFont="1" applyFill="1" applyBorder="1" applyAlignment="1">
      <alignment horizontal="left" wrapText="1"/>
    </xf>
    <xf numFmtId="2" fontId="13" fillId="6" borderId="20" xfId="0" applyNumberFormat="1" applyFont="1" applyFill="1" applyBorder="1" applyAlignment="1">
      <alignment horizontal="left" wrapText="1"/>
    </xf>
    <xf numFmtId="0" fontId="12" fillId="6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F1DA9"/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087463831197372E-2"/>
          <c:y val="7.7121101141427104E-2"/>
          <c:w val="0.57543821971386289"/>
          <c:h val="0.7807445984134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Tabelle2!$C$5</c:f>
              <c:strCache>
                <c:ptCount val="1"/>
                <c:pt idx="0">
                  <c:v>M_max bei 0,85*U_n
M_max at 0.85*U_n</c:v>
                </c:pt>
              </c:strCache>
            </c:strRef>
          </c:tx>
          <c:spPr>
            <a:ln w="25400">
              <a:solidFill>
                <a:srgbClr val="EF1DA9"/>
              </a:solidFill>
              <a:prstDash val="lgDash"/>
            </a:ln>
          </c:spPr>
          <c:marker>
            <c:symbol val="diamond"/>
            <c:size val="7"/>
            <c:spPr>
              <a:solidFill>
                <a:srgbClr val="EF1DA9"/>
              </a:solidFill>
              <a:ln w="28575">
                <a:solidFill>
                  <a:srgbClr val="EF1DA9"/>
                </a:solidFill>
                <a:prstDash val="solid"/>
              </a:ln>
            </c:spPr>
          </c:marker>
          <c:xVal>
            <c:numRef>
              <c:f>(Tabelle2!$B$6,Tabelle2!$B$8,Tabelle2!$B$9,Tabelle2!$B$10)</c:f>
              <c:numCache>
                <c:formatCode>0</c:formatCode>
                <c:ptCount val="4"/>
                <c:pt idx="0">
                  <c:v>0</c:v>
                </c:pt>
                <c:pt idx="1">
                  <c:v>770.34913120656847</c:v>
                </c:pt>
                <c:pt idx="2">
                  <c:v>5024.8417338100753</c:v>
                </c:pt>
                <c:pt idx="3">
                  <c:v>5917.1597633136107</c:v>
                </c:pt>
              </c:numCache>
            </c:numRef>
          </c:xVal>
          <c:yVal>
            <c:numRef>
              <c:f>(Tabelle2!$C$6,Tabelle2!$C$8,Tabelle2!$C$9,Tabelle2!$C$10)</c:f>
              <c:numCache>
                <c:formatCode>0.0</c:formatCode>
                <c:ptCount val="4"/>
                <c:pt idx="0">
                  <c:v>9.1999999999999993</c:v>
                </c:pt>
                <c:pt idx="1">
                  <c:v>9.1999999999999993</c:v>
                </c:pt>
                <c:pt idx="2">
                  <c:v>1.5950316532379833</c:v>
                </c:pt>
                <c:pt idx="3" formatCode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6-4DCA-A567-249EBECA68AD}"/>
            </c:ext>
          </c:extLst>
        </c:ser>
        <c:ser>
          <c:idx val="1"/>
          <c:order val="1"/>
          <c:tx>
            <c:strRef>
              <c:f>Tabelle2!$D$5</c:f>
              <c:strCache>
                <c:ptCount val="1"/>
                <c:pt idx="0">
                  <c:v>M_n S1-Betrieb 
(Erwärmung Wicklung: Δ100K / Gehäuse: Δ80K)
M_n S1-Duty 
(Temp.rise winding: Δ100K / housing: Δ80K)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(Tabelle2!$B$6,Tabelle2!$B$7,Tabelle2!$B$9)</c:f>
              <c:numCache>
                <c:formatCode>0</c:formatCode>
                <c:ptCount val="3"/>
                <c:pt idx="0">
                  <c:v>0</c:v>
                </c:pt>
                <c:pt idx="1">
                  <c:v>4000</c:v>
                </c:pt>
                <c:pt idx="2">
                  <c:v>5024.8417338100753</c:v>
                </c:pt>
              </c:numCache>
            </c:numRef>
          </c:xVal>
          <c:yVal>
            <c:numRef>
              <c:f>(Tabelle2!$D$6,Tabelle2!$D$7,Tabelle2!$D$9)</c:f>
              <c:numCache>
                <c:formatCode>0.0</c:formatCode>
                <c:ptCount val="3"/>
                <c:pt idx="0">
                  <c:v>2.6</c:v>
                </c:pt>
                <c:pt idx="1">
                  <c:v>1.8</c:v>
                </c:pt>
                <c:pt idx="2">
                  <c:v>1.5950316532379849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C6-4DCA-A567-249EBECA6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2032"/>
        <c:axId val="1"/>
      </c:scatterChart>
      <c:valAx>
        <c:axId val="42907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Speed (minˉ¹)</a:t>
                </a:r>
              </a:p>
            </c:rich>
          </c:tx>
          <c:layout>
            <c:manualLayout>
              <c:xMode val="edge"/>
              <c:yMode val="edge"/>
              <c:x val="0.3613448850365335"/>
              <c:y val="0.935904646764378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Torque (Nm)</a:t>
                </a:r>
              </a:p>
            </c:rich>
          </c:tx>
          <c:layout>
            <c:manualLayout>
              <c:xMode val="edge"/>
              <c:yMode val="edge"/>
              <c:x val="4.7461634863209642E-4"/>
              <c:y val="0.2857724470487700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29072032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797844422052632"/>
          <c:y val="8.1993814593831163E-2"/>
          <c:w val="0.32517826738834543"/>
          <c:h val="0.3190477303432448"/>
        </c:manualLayout>
      </c:layout>
      <c:overlay val="0"/>
      <c:spPr>
        <a:ln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200023</xdr:colOff>
      <xdr:row>9</xdr:row>
      <xdr:rowOff>71159</xdr:rowOff>
    </xdr:from>
    <xdr:to>
      <xdr:col>3</xdr:col>
      <xdr:colOff>1064559</xdr:colOff>
      <xdr:row>25</xdr:row>
      <xdr:rowOff>71159</xdr:rowOff>
    </xdr:to>
    <xdr:graphicFrame macro="">
      <xdr:nvGraphicFramePr>
        <xdr:cNvPr id="1132" name="Diagramm 6">
          <a:extLst>
            <a:ext uri="{FF2B5EF4-FFF2-40B4-BE49-F238E27FC236}">
              <a16:creationId xmlns:a16="http://schemas.microsoft.com/office/drawing/2014/main" id="{DAA804BF-2A03-2486-7541-FC0E8A204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1247679</xdr:colOff>
      <xdr:row>1</xdr:row>
      <xdr:rowOff>145505</xdr:rowOff>
    </xdr:from>
    <xdr:to>
      <xdr:col>3</xdr:col>
      <xdr:colOff>688699</xdr:colOff>
      <xdr:row>2</xdr:row>
      <xdr:rowOff>397809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9E3B6A8-3D42-4A3A-B5D8-B8D39037E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1409"/>
        <a:stretch>
          <a:fillRect/>
        </a:stretch>
      </xdr:blipFill>
      <xdr:spPr>
        <a:xfrm>
          <a:off x="5539532" y="313593"/>
          <a:ext cx="2690726" cy="476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D479-A4FC-445B-82D4-DA6673D46C44}">
  <sheetPr>
    <pageSetUpPr fitToPage="1"/>
  </sheetPr>
  <dimension ref="A2:L53"/>
  <sheetViews>
    <sheetView tabSelected="1" view="pageBreakPreview" zoomScale="70" zoomScaleNormal="100" zoomScaleSheetLayoutView="70" zoomScalePageLayoutView="55" workbookViewId="0">
      <selection activeCell="O7" sqref="O7"/>
    </sheetView>
  </sheetViews>
  <sheetFormatPr baseColWidth="10" defaultRowHeight="13.5" x14ac:dyDescent="0.25"/>
  <cols>
    <col min="1" max="1" width="48.7109375" style="13" customWidth="1"/>
    <col min="2" max="2" width="18.7109375" style="14" customWidth="1"/>
    <col min="3" max="3" width="48.7109375" style="13" customWidth="1"/>
    <col min="4" max="4" width="18.7109375" style="14" customWidth="1"/>
    <col min="5" max="5" width="10.140625" style="14" hidden="1" customWidth="1"/>
    <col min="6" max="6" width="9" style="13" hidden="1" customWidth="1"/>
    <col min="7" max="7" width="10.140625" style="13" hidden="1" customWidth="1"/>
    <col min="8" max="10" width="11.42578125" style="13" hidden="1" customWidth="1"/>
    <col min="11" max="11" width="41.140625" style="13" bestFit="1" customWidth="1"/>
    <col min="12" max="12" width="11.5703125" style="13" bestFit="1" customWidth="1"/>
    <col min="13" max="16384" width="11.42578125" style="13"/>
  </cols>
  <sheetData>
    <row r="2" spans="1:12" ht="18" customHeight="1" x14ac:dyDescent="0.55000000000000004">
      <c r="D2" s="15"/>
      <c r="E2" s="15"/>
    </row>
    <row r="3" spans="1:12" ht="33.75" x14ac:dyDescent="0.5">
      <c r="A3" s="88" t="s">
        <v>19</v>
      </c>
      <c r="B3" s="88"/>
      <c r="C3" s="88"/>
      <c r="D3" s="88"/>
      <c r="E3" s="88"/>
    </row>
    <row r="4" spans="1:12" ht="14.25" thickBot="1" x14ac:dyDescent="0.3">
      <c r="A4" s="54" t="s">
        <v>37</v>
      </c>
      <c r="D4" s="16"/>
      <c r="E4" s="16"/>
    </row>
    <row r="5" spans="1:12" ht="21.75" thickBot="1" x14ac:dyDescent="0.4">
      <c r="A5" s="17"/>
      <c r="D5" s="16"/>
      <c r="E5" s="16"/>
      <c r="K5" s="18" t="s">
        <v>20</v>
      </c>
      <c r="L5" s="19" t="s">
        <v>69</v>
      </c>
    </row>
    <row r="6" spans="1:12" ht="33.75" customHeight="1" thickBot="1" x14ac:dyDescent="0.3">
      <c r="A6" s="55" t="s">
        <v>35</v>
      </c>
      <c r="B6" s="67" t="s">
        <v>66</v>
      </c>
      <c r="C6" s="91" t="s">
        <v>68</v>
      </c>
      <c r="D6" s="91"/>
      <c r="E6" s="67" t="s">
        <v>67</v>
      </c>
      <c r="F6" s="67"/>
      <c r="G6" s="67"/>
      <c r="H6" s="67"/>
      <c r="I6" s="67"/>
      <c r="K6" s="18" t="s">
        <v>21</v>
      </c>
      <c r="L6" s="20">
        <f ca="1">TODAY()</f>
        <v>46050</v>
      </c>
    </row>
    <row r="7" spans="1:12" ht="19.5" thickBot="1" x14ac:dyDescent="0.35">
      <c r="A7" s="21"/>
      <c r="B7" s="13"/>
      <c r="D7" s="13"/>
      <c r="E7" s="13"/>
      <c r="K7" s="22"/>
      <c r="L7" s="23"/>
    </row>
    <row r="8" spans="1:12" ht="33" customHeight="1" x14ac:dyDescent="0.3">
      <c r="A8" s="89" t="s">
        <v>36</v>
      </c>
      <c r="B8" s="90"/>
      <c r="C8" s="90"/>
      <c r="D8" s="69"/>
      <c r="E8" s="24"/>
      <c r="K8" s="25" t="s">
        <v>22</v>
      </c>
      <c r="L8" s="26">
        <v>400</v>
      </c>
    </row>
    <row r="9" spans="1:12" ht="15.75" x14ac:dyDescent="0.25">
      <c r="A9" s="70"/>
      <c r="D9" s="71"/>
      <c r="K9" s="27" t="s">
        <v>23</v>
      </c>
      <c r="L9" s="28">
        <v>4000</v>
      </c>
    </row>
    <row r="10" spans="1:12" ht="15.75" x14ac:dyDescent="0.25">
      <c r="A10" s="70"/>
      <c r="D10" s="71"/>
      <c r="K10" s="27" t="s">
        <v>24</v>
      </c>
      <c r="L10" s="28">
        <v>1.8</v>
      </c>
    </row>
    <row r="11" spans="1:12" ht="18.75" x14ac:dyDescent="0.35">
      <c r="A11" s="70"/>
      <c r="B11" s="72"/>
      <c r="C11" s="72"/>
      <c r="D11" s="71"/>
      <c r="K11" s="27" t="s">
        <v>25</v>
      </c>
      <c r="L11" s="28">
        <v>2.6</v>
      </c>
    </row>
    <row r="12" spans="1:12" ht="15.75" x14ac:dyDescent="0.25">
      <c r="A12" s="70"/>
      <c r="D12" s="71"/>
      <c r="K12" s="27" t="s">
        <v>26</v>
      </c>
      <c r="L12" s="28">
        <v>9.1999999999999993</v>
      </c>
    </row>
    <row r="13" spans="1:12" ht="15.75" x14ac:dyDescent="0.25">
      <c r="A13" s="70"/>
      <c r="D13" s="71"/>
      <c r="K13" s="27" t="s">
        <v>27</v>
      </c>
      <c r="L13" s="29">
        <v>1.8</v>
      </c>
    </row>
    <row r="14" spans="1:12" ht="18.75" x14ac:dyDescent="0.35">
      <c r="A14" s="70"/>
      <c r="D14" s="71"/>
      <c r="K14" s="27" t="s">
        <v>28</v>
      </c>
      <c r="L14" s="29">
        <v>2.5</v>
      </c>
    </row>
    <row r="15" spans="1:12" ht="15.75" x14ac:dyDescent="0.25">
      <c r="A15" s="70"/>
      <c r="D15" s="71"/>
      <c r="K15" s="27" t="s">
        <v>29</v>
      </c>
      <c r="L15" s="30">
        <v>10</v>
      </c>
    </row>
    <row r="16" spans="1:12" ht="15.75" x14ac:dyDescent="0.25">
      <c r="A16" s="70"/>
      <c r="D16" s="71"/>
      <c r="K16" s="27" t="s">
        <v>30</v>
      </c>
      <c r="L16" s="30">
        <v>67.599999999999994</v>
      </c>
    </row>
    <row r="17" spans="1:12" ht="15.75" x14ac:dyDescent="0.25">
      <c r="A17" s="70"/>
      <c r="D17" s="71"/>
      <c r="K17" s="27" t="s">
        <v>31</v>
      </c>
      <c r="L17" s="30">
        <v>6.7</v>
      </c>
    </row>
    <row r="18" spans="1:12" ht="15.75" x14ac:dyDescent="0.25">
      <c r="A18" s="70"/>
      <c r="D18" s="71"/>
      <c r="K18" s="27" t="s">
        <v>32</v>
      </c>
      <c r="L18" s="30">
        <v>13.2</v>
      </c>
    </row>
    <row r="19" spans="1:12" ht="15.75" x14ac:dyDescent="0.25">
      <c r="A19" s="70"/>
      <c r="D19" s="71"/>
      <c r="K19" s="27" t="s">
        <v>13</v>
      </c>
      <c r="L19" s="30">
        <v>6</v>
      </c>
    </row>
    <row r="20" spans="1:12" ht="15.75" x14ac:dyDescent="0.25">
      <c r="A20" s="70"/>
      <c r="D20" s="71"/>
      <c r="K20" s="31" t="s">
        <v>15</v>
      </c>
      <c r="L20" s="32">
        <v>679</v>
      </c>
    </row>
    <row r="21" spans="1:12" ht="15.75" x14ac:dyDescent="0.25">
      <c r="A21" s="70"/>
      <c r="D21" s="71"/>
      <c r="K21" s="27" t="s">
        <v>14</v>
      </c>
      <c r="L21" s="28">
        <v>0.95</v>
      </c>
    </row>
    <row r="22" spans="1:12" ht="15.75" x14ac:dyDescent="0.25">
      <c r="A22" s="70"/>
      <c r="D22" s="71"/>
      <c r="K22" s="27" t="s">
        <v>18</v>
      </c>
      <c r="L22" s="29">
        <v>7.2</v>
      </c>
    </row>
    <row r="23" spans="1:12" ht="15.75" x14ac:dyDescent="0.25">
      <c r="A23" s="70"/>
      <c r="D23" s="71"/>
      <c r="K23" s="27" t="s">
        <v>33</v>
      </c>
      <c r="L23" s="32">
        <v>41</v>
      </c>
    </row>
    <row r="24" spans="1:12" ht="15.75" x14ac:dyDescent="0.25">
      <c r="A24" s="70"/>
      <c r="D24" s="71"/>
      <c r="K24" s="27" t="s">
        <v>1</v>
      </c>
      <c r="L24" s="30" t="s">
        <v>65</v>
      </c>
    </row>
    <row r="25" spans="1:12" ht="15.75" x14ac:dyDescent="0.25">
      <c r="A25" s="70"/>
      <c r="D25" s="71"/>
      <c r="K25" s="27" t="s">
        <v>2</v>
      </c>
      <c r="L25" s="30" t="s">
        <v>16</v>
      </c>
    </row>
    <row r="26" spans="1:12" ht="16.5" thickBot="1" x14ac:dyDescent="0.3">
      <c r="A26" s="70"/>
      <c r="D26" s="71"/>
      <c r="K26" s="33" t="s">
        <v>3</v>
      </c>
      <c r="L26" s="34" t="s">
        <v>17</v>
      </c>
    </row>
    <row r="27" spans="1:12" x14ac:dyDescent="0.25">
      <c r="A27" s="70"/>
      <c r="D27" s="71"/>
    </row>
    <row r="28" spans="1:12" x14ac:dyDescent="0.25">
      <c r="A28" s="70"/>
      <c r="D28" s="71"/>
    </row>
    <row r="29" spans="1:12" ht="19.5" thickBot="1" x14ac:dyDescent="0.35">
      <c r="A29" s="73" t="s">
        <v>0</v>
      </c>
      <c r="B29" s="35"/>
      <c r="D29" s="74"/>
      <c r="E29" s="36"/>
    </row>
    <row r="30" spans="1:12" s="39" customFormat="1" ht="29.25" x14ac:dyDescent="0.25">
      <c r="A30" s="65" t="s">
        <v>40</v>
      </c>
      <c r="B30" s="57">
        <f>L8</f>
        <v>400</v>
      </c>
      <c r="C30" s="37"/>
      <c r="D30" s="61"/>
      <c r="E30" s="38"/>
    </row>
    <row r="31" spans="1:12" s="39" customFormat="1" ht="29.25" x14ac:dyDescent="0.25">
      <c r="A31" s="43" t="s">
        <v>41</v>
      </c>
      <c r="B31" s="51">
        <f>L9</f>
        <v>4000</v>
      </c>
      <c r="C31" s="43" t="s">
        <v>46</v>
      </c>
      <c r="D31" s="51">
        <v>6</v>
      </c>
      <c r="E31" s="38"/>
    </row>
    <row r="32" spans="1:12" s="39" customFormat="1" ht="29.25" x14ac:dyDescent="0.25">
      <c r="A32" s="43" t="s">
        <v>42</v>
      </c>
      <c r="B32" s="58">
        <f>(B31*B33*PI()/30)/1000</f>
        <v>0.7539822368615503</v>
      </c>
      <c r="C32" s="43" t="s">
        <v>47</v>
      </c>
      <c r="D32" s="51">
        <f>L17</f>
        <v>6.7</v>
      </c>
      <c r="E32" s="38"/>
    </row>
    <row r="33" spans="1:5" s="39" customFormat="1" ht="29.25" x14ac:dyDescent="0.25">
      <c r="A33" s="43" t="s">
        <v>43</v>
      </c>
      <c r="B33" s="51">
        <f>L10</f>
        <v>1.8</v>
      </c>
      <c r="C33" s="43" t="s">
        <v>48</v>
      </c>
      <c r="D33" s="51">
        <f>L18</f>
        <v>13.2</v>
      </c>
      <c r="E33" s="38"/>
    </row>
    <row r="34" spans="1:5" s="39" customFormat="1" ht="29.25" x14ac:dyDescent="0.25">
      <c r="A34" s="43" t="s">
        <v>44</v>
      </c>
      <c r="B34" s="51">
        <f>L13</f>
        <v>1.8</v>
      </c>
      <c r="C34" s="43" t="s">
        <v>49</v>
      </c>
      <c r="D34" s="58">
        <f>D33/D32</f>
        <v>1.9701492537313432</v>
      </c>
      <c r="E34" s="41"/>
    </row>
    <row r="35" spans="1:5" s="39" customFormat="1" ht="6.75" customHeight="1" x14ac:dyDescent="0.25">
      <c r="A35" s="40"/>
      <c r="B35" s="51"/>
      <c r="C35" s="40"/>
      <c r="D35" s="62"/>
      <c r="E35" s="42"/>
    </row>
    <row r="36" spans="1:5" s="44" customFormat="1" ht="30" customHeight="1" x14ac:dyDescent="0.25">
      <c r="A36" s="43" t="s">
        <v>45</v>
      </c>
      <c r="B36" s="59">
        <f>B33/B34</f>
        <v>1</v>
      </c>
      <c r="C36" s="43"/>
      <c r="D36" s="63"/>
      <c r="E36" s="42"/>
    </row>
    <row r="37" spans="1:5" s="39" customFormat="1" ht="30" customHeight="1" x14ac:dyDescent="0.25">
      <c r="A37" s="43" t="s">
        <v>50</v>
      </c>
      <c r="B37" s="51">
        <f>L16</f>
        <v>67.599999999999994</v>
      </c>
      <c r="C37" s="66" t="s">
        <v>51</v>
      </c>
      <c r="D37" s="51">
        <f>L20</f>
        <v>679</v>
      </c>
      <c r="E37" s="45"/>
    </row>
    <row r="38" spans="1:5" s="39" customFormat="1" ht="5.25" customHeight="1" x14ac:dyDescent="0.25">
      <c r="A38" s="40"/>
      <c r="B38" s="51"/>
      <c r="C38" s="40"/>
      <c r="D38" s="51"/>
      <c r="E38" s="38"/>
    </row>
    <row r="39" spans="1:5" s="39" customFormat="1" ht="29.25" x14ac:dyDescent="0.25">
      <c r="A39" s="43" t="s">
        <v>52</v>
      </c>
      <c r="B39" s="58">
        <f>L11</f>
        <v>2.6</v>
      </c>
      <c r="C39" s="43" t="s">
        <v>53</v>
      </c>
      <c r="D39" s="51" t="str">
        <f>L24</f>
        <v>IP69K</v>
      </c>
      <c r="E39" s="38"/>
    </row>
    <row r="40" spans="1:5" s="39" customFormat="1" ht="29.25" x14ac:dyDescent="0.25">
      <c r="A40" s="43" t="s">
        <v>54</v>
      </c>
      <c r="B40" s="51">
        <f>L14</f>
        <v>2.5</v>
      </c>
      <c r="C40" s="43" t="s">
        <v>55</v>
      </c>
      <c r="D40" s="51" t="str">
        <f>L25</f>
        <v>S1</v>
      </c>
      <c r="E40" s="38"/>
    </row>
    <row r="41" spans="1:5" s="39" customFormat="1" ht="30" customHeight="1" x14ac:dyDescent="0.25">
      <c r="A41" s="43" t="s">
        <v>64</v>
      </c>
      <c r="B41" s="58">
        <f>B33/B34</f>
        <v>1</v>
      </c>
      <c r="C41" s="66" t="s">
        <v>57</v>
      </c>
      <c r="D41" s="51" t="str">
        <f>L26</f>
        <v>F</v>
      </c>
      <c r="E41" s="45"/>
    </row>
    <row r="42" spans="1:5" s="39" customFormat="1" ht="5.25" customHeight="1" x14ac:dyDescent="0.25">
      <c r="A42" s="40"/>
      <c r="B42" s="58"/>
      <c r="C42" s="40"/>
      <c r="D42" s="51"/>
      <c r="E42" s="38"/>
    </row>
    <row r="43" spans="1:5" s="44" customFormat="1" ht="30" customHeight="1" x14ac:dyDescent="0.25">
      <c r="A43" s="46" t="s">
        <v>56</v>
      </c>
      <c r="B43" s="52">
        <f>L12</f>
        <v>9.1999999999999993</v>
      </c>
      <c r="C43" s="43" t="s">
        <v>58</v>
      </c>
      <c r="D43" s="52">
        <f>L21</f>
        <v>0.95</v>
      </c>
      <c r="E43" s="47"/>
    </row>
    <row r="44" spans="1:5" s="39" customFormat="1" ht="29.25" x14ac:dyDescent="0.25">
      <c r="A44" s="43" t="s">
        <v>59</v>
      </c>
      <c r="B44" s="51">
        <v>31.1</v>
      </c>
      <c r="C44" s="43" t="s">
        <v>60</v>
      </c>
      <c r="D44" s="64">
        <f>L22</f>
        <v>7.2</v>
      </c>
      <c r="E44" s="38"/>
    </row>
    <row r="45" spans="1:5" s="44" customFormat="1" ht="30" thickBot="1" x14ac:dyDescent="0.3">
      <c r="A45" s="48" t="s">
        <v>61</v>
      </c>
      <c r="B45" s="60">
        <f>B43/B44</f>
        <v>0.29581993569131831</v>
      </c>
      <c r="C45" s="48" t="s">
        <v>62</v>
      </c>
      <c r="D45" s="53">
        <f>L23</f>
        <v>41</v>
      </c>
      <c r="E45" s="49"/>
    </row>
    <row r="46" spans="1:5" s="44" customFormat="1" ht="15.75" x14ac:dyDescent="0.25">
      <c r="A46" s="75"/>
      <c r="B46" s="76"/>
      <c r="D46" s="77"/>
    </row>
    <row r="47" spans="1:5" ht="30" customHeight="1" x14ac:dyDescent="0.25">
      <c r="A47" s="85" t="s">
        <v>63</v>
      </c>
      <c r="B47" s="86"/>
      <c r="C47" s="86"/>
      <c r="D47" s="87"/>
      <c r="E47" s="50"/>
    </row>
    <row r="48" spans="1:5" ht="15.75" x14ac:dyDescent="0.25">
      <c r="A48" s="78"/>
      <c r="B48" s="50"/>
      <c r="D48" s="79"/>
      <c r="E48" s="50"/>
    </row>
    <row r="49" spans="1:4" x14ac:dyDescent="0.25">
      <c r="A49" s="70" t="s">
        <v>10</v>
      </c>
      <c r="D49" s="71"/>
    </row>
    <row r="50" spans="1:4" x14ac:dyDescent="0.25">
      <c r="A50" s="70" t="s">
        <v>34</v>
      </c>
      <c r="D50" s="71"/>
    </row>
    <row r="51" spans="1:4" x14ac:dyDescent="0.25">
      <c r="A51" s="70" t="s">
        <v>11</v>
      </c>
      <c r="C51" s="14" t="str">
        <f>L5</f>
        <v>BOT</v>
      </c>
      <c r="D51" s="80">
        <f ca="1">L6</f>
        <v>46050</v>
      </c>
    </row>
    <row r="52" spans="1:4" x14ac:dyDescent="0.25">
      <c r="A52" s="70" t="s">
        <v>12</v>
      </c>
      <c r="D52" s="71"/>
    </row>
    <row r="53" spans="1:4" ht="14.25" thickBot="1" x14ac:dyDescent="0.3">
      <c r="A53" s="81"/>
      <c r="B53" s="82"/>
      <c r="C53" s="83"/>
      <c r="D53" s="84"/>
    </row>
  </sheetData>
  <mergeCells count="4">
    <mergeCell ref="A47:D47"/>
    <mergeCell ref="A3:E3"/>
    <mergeCell ref="A8:C8"/>
    <mergeCell ref="C6:D6"/>
  </mergeCells>
  <phoneticPr fontId="1" type="noConversion"/>
  <pageMargins left="0.78740157480314965" right="0.78740157480314965" top="0.39370078740157483" bottom="0.39370078740157483" header="0.51181102362204722" footer="0.51181102362204722"/>
  <pageSetup paperSize="9" scale="64" fitToHeight="2" orientation="portrait" r:id="rId1"/>
  <headerFooter alignWithMargins="0"/>
  <rowBreaks count="1" manualBreakCount="1">
    <brk id="68" max="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44C6-80CD-407F-92E0-1D73805D06D8}">
  <dimension ref="B3:J21"/>
  <sheetViews>
    <sheetView workbookViewId="0">
      <selection activeCell="G31" sqref="G31"/>
    </sheetView>
  </sheetViews>
  <sheetFormatPr baseColWidth="10" defaultRowHeight="12.75" x14ac:dyDescent="0.2"/>
  <cols>
    <col min="2" max="2" width="14.85546875" style="5" customWidth="1"/>
    <col min="3" max="3" width="23.42578125" bestFit="1" customWidth="1"/>
    <col min="4" max="4" width="57.140625" customWidth="1"/>
    <col min="5" max="5" width="34.5703125" bestFit="1" customWidth="1"/>
    <col min="6" max="7" width="14.140625" customWidth="1"/>
    <col min="8" max="8" width="14" bestFit="1" customWidth="1"/>
  </cols>
  <sheetData>
    <row r="3" spans="2:10" ht="18" x14ac:dyDescent="0.25">
      <c r="B3" s="3" t="s">
        <v>5</v>
      </c>
    </row>
    <row r="4" spans="2:10" s="2" customFormat="1" x14ac:dyDescent="0.2">
      <c r="B4" s="4"/>
    </row>
    <row r="5" spans="2:10" ht="57" x14ac:dyDescent="0.25">
      <c r="B5" s="1" t="s">
        <v>4</v>
      </c>
      <c r="C5" s="56" t="s">
        <v>38</v>
      </c>
      <c r="D5" s="56" t="s">
        <v>39</v>
      </c>
    </row>
    <row r="6" spans="2:10" x14ac:dyDescent="0.2">
      <c r="B6" s="9">
        <v>0</v>
      </c>
      <c r="C6" s="7">
        <f>Tabelle1!B43</f>
        <v>9.1999999999999993</v>
      </c>
      <c r="D6" s="7">
        <f>Tabelle1!B39</f>
        <v>2.6</v>
      </c>
    </row>
    <row r="7" spans="2:10" x14ac:dyDescent="0.2">
      <c r="B7" s="9">
        <f>Tabelle1!B31</f>
        <v>4000</v>
      </c>
      <c r="C7" s="7"/>
      <c r="D7" s="7">
        <f>Tabelle1!B33</f>
        <v>1.8</v>
      </c>
    </row>
    <row r="8" spans="2:10" x14ac:dyDescent="0.2">
      <c r="B8" s="9">
        <f>(((-1*(-2*C16*0.85*C17))-SQRT(((-2*C16*0.85*C17)^2)-4*(C17^2-C20^2*C19^2*4*(PI())^2*(C21^2/60^2))*((C16*0.85)^2-C20^2*C18^2)))/(2*(C17^2-C20^2*C19^2*4*(PI())^2*(C21^2/60^2))))</f>
        <v>770.34913120656847</v>
      </c>
      <c r="C8" s="7">
        <f>C6</f>
        <v>9.1999999999999993</v>
      </c>
      <c r="D8" s="7"/>
    </row>
    <row r="9" spans="2:10" x14ac:dyDescent="0.2">
      <c r="B9" s="9">
        <f>((Tabelle1!B39-(Tabelle1!B43-((Tabelle1!B43*B8)/(B8-B10))))/((Tabelle1!B43/(B8-B10))-((Tabelle1!B33-Tabelle1!B39)/Tabelle1!B31)))</f>
        <v>5024.8417338100753</v>
      </c>
      <c r="C9" s="7">
        <f>((C6/(Tabelle2!B8-Tabelle2!B10))*Tabelle2!B9+(C6-((C6*Tabelle2!B8)/(Tabelle2!B8-Tabelle2!B10))))</f>
        <v>1.5950316532379833</v>
      </c>
      <c r="D9" s="7">
        <f>(((Tabelle1!B33-Tabelle1!B39)/Tabelle1!B31)*Tabelle2!B9+Tabelle1!B39)</f>
        <v>1.5950316532379849</v>
      </c>
    </row>
    <row r="10" spans="2:10" x14ac:dyDescent="0.2">
      <c r="B10" s="9">
        <f>C16/(C17*1000)*1000</f>
        <v>5917.1597633136107</v>
      </c>
      <c r="C10" s="8">
        <v>0</v>
      </c>
      <c r="D10" s="7"/>
    </row>
    <row r="13" spans="2:10" ht="18" x14ac:dyDescent="0.25">
      <c r="B13" s="10" t="s">
        <v>9</v>
      </c>
      <c r="E13" t="s">
        <v>88</v>
      </c>
      <c r="F13">
        <f>C19/2</f>
        <v>6.6E-3</v>
      </c>
      <c r="G13" t="s">
        <v>89</v>
      </c>
    </row>
    <row r="14" spans="2:10" ht="18" x14ac:dyDescent="0.25">
      <c r="B14" s="10"/>
      <c r="E14" t="s">
        <v>86</v>
      </c>
      <c r="F14">
        <f>C18/2</f>
        <v>3.35</v>
      </c>
      <c r="G14" t="s">
        <v>87</v>
      </c>
    </row>
    <row r="15" spans="2:10" x14ac:dyDescent="0.2">
      <c r="E15" t="s">
        <v>85</v>
      </c>
      <c r="F15">
        <v>0.85</v>
      </c>
    </row>
    <row r="16" spans="2:10" x14ac:dyDescent="0.2">
      <c r="B16" s="6" t="s">
        <v>83</v>
      </c>
      <c r="C16" s="8">
        <f>Tabelle1!B30</f>
        <v>400</v>
      </c>
      <c r="E16" t="s">
        <v>70</v>
      </c>
      <c r="F16">
        <f>Tabelle1!B37*60/2/PI()/1000/1000</f>
        <v>6.4553244918072743E-4</v>
      </c>
      <c r="G16" t="s">
        <v>71</v>
      </c>
      <c r="H16" t="s">
        <v>72</v>
      </c>
      <c r="I16" s="68">
        <f>(C17*SQRT(2/3))/(2*PI()/60)</f>
        <v>0.52707503763396502</v>
      </c>
      <c r="J16" t="s">
        <v>90</v>
      </c>
    </row>
    <row r="17" spans="2:10" x14ac:dyDescent="0.2">
      <c r="B17" s="6" t="s">
        <v>91</v>
      </c>
      <c r="C17">
        <f>Tabelle1!B37/1000</f>
        <v>6.7599999999999993E-2</v>
      </c>
      <c r="E17" t="s">
        <v>73</v>
      </c>
      <c r="F17">
        <f>C16/SQRT((3))</f>
        <v>230.94010767585033</v>
      </c>
      <c r="G17" t="s">
        <v>74</v>
      </c>
    </row>
    <row r="18" spans="2:10" x14ac:dyDescent="0.2">
      <c r="B18" s="6" t="s">
        <v>7</v>
      </c>
      <c r="C18">
        <f>Tabelle1!D32</f>
        <v>6.7</v>
      </c>
      <c r="E18" t="s">
        <v>75</v>
      </c>
      <c r="F18">
        <f>SQRT(F17^2-(C18*C20)^2)/(F16+C19*C20)</f>
        <v>242.17857098084599</v>
      </c>
      <c r="G18" t="s">
        <v>76</v>
      </c>
      <c r="I18">
        <f>SQRT(F17^2-(F14*C20)^2)/((F13*C20)+I16)</f>
        <v>281.4338971635994</v>
      </c>
      <c r="J18" t="s">
        <v>76</v>
      </c>
    </row>
    <row r="19" spans="2:10" x14ac:dyDescent="0.2">
      <c r="B19" s="6" t="s">
        <v>84</v>
      </c>
      <c r="C19">
        <f>Tabelle1!D33/1000</f>
        <v>1.32E-2</v>
      </c>
      <c r="E19" t="s">
        <v>77</v>
      </c>
      <c r="F19">
        <f>60*F18/2/PI()/C21</f>
        <v>385.4391668253308</v>
      </c>
      <c r="G19" t="s">
        <v>78</v>
      </c>
      <c r="I19">
        <f>60*I18/2/PI()/C21</f>
        <v>447.91595887202988</v>
      </c>
      <c r="J19" t="s">
        <v>78</v>
      </c>
    </row>
    <row r="20" spans="2:10" x14ac:dyDescent="0.2">
      <c r="B20" s="6" t="s">
        <v>8</v>
      </c>
      <c r="C20">
        <f>Tabelle1!B44</f>
        <v>31.1</v>
      </c>
      <c r="E20" t="s">
        <v>79</v>
      </c>
      <c r="F20">
        <f>3*F17*C20/F18</f>
        <v>88.970349271162291</v>
      </c>
      <c r="G20" t="s">
        <v>80</v>
      </c>
      <c r="I20">
        <f>3/2*C21*I16*C20</f>
        <v>147.52830303374682</v>
      </c>
      <c r="J20" t="s">
        <v>80</v>
      </c>
    </row>
    <row r="21" spans="2:10" x14ac:dyDescent="0.2">
      <c r="B21" s="6" t="s">
        <v>6</v>
      </c>
      <c r="C21">
        <f>Tabelle1!L19</f>
        <v>6</v>
      </c>
      <c r="E21" t="s">
        <v>81</v>
      </c>
      <c r="F21">
        <f>F20*F18</f>
        <v>21546.712046156837</v>
      </c>
      <c r="G21" t="s">
        <v>82</v>
      </c>
      <c r="I21">
        <f>I20*I18</f>
        <v>41519.465264719831</v>
      </c>
      <c r="J21" t="s">
        <v>82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1C65-340E-4E50-8064-D44663695099}">
  <dimension ref="B5:D6"/>
  <sheetViews>
    <sheetView workbookViewId="0">
      <selection activeCell="D6" sqref="D6"/>
    </sheetView>
  </sheetViews>
  <sheetFormatPr baseColWidth="10" defaultRowHeight="12.75" x14ac:dyDescent="0.2"/>
  <sheetData>
    <row r="5" spans="2:4" x14ac:dyDescent="0.2">
      <c r="B5" s="12">
        <v>5.7140000000000003E-2</v>
      </c>
      <c r="C5" s="12">
        <v>2.4080000000000001E-2</v>
      </c>
    </row>
    <row r="6" spans="2:4" x14ac:dyDescent="0.2">
      <c r="B6" s="11">
        <f>B5*B5</f>
        <v>3.2649796000000005E-3</v>
      </c>
      <c r="C6" s="11">
        <f>C5*C5</f>
        <v>5.7984639999999999E-4</v>
      </c>
      <c r="D6" s="11">
        <f>SQRT(B6+C6)*1000</f>
        <v>62.006660932515956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Company>Georgii-Kobold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kka</dc:creator>
  <cp:lastModifiedBy>Zeller, Tobias</cp:lastModifiedBy>
  <cp:lastPrinted>2026-01-27T15:02:56Z</cp:lastPrinted>
  <dcterms:created xsi:type="dcterms:W3CDTF">2012-11-07T08:45:20Z</dcterms:created>
  <dcterms:modified xsi:type="dcterms:W3CDTF">2026-01-28T10:35:47Z</dcterms:modified>
</cp:coreProperties>
</file>