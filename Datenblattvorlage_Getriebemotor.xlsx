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zt\Python_Code\Automatische Datenblatt Erzeugung V2\"/>
    </mc:Choice>
  </mc:AlternateContent>
  <xr:revisionPtr revIDLastSave="0" documentId="13_ncr:1_{F1EFA3E8-24DF-47F1-B011-701044C6F90A}" xr6:coauthVersionLast="47" xr6:coauthVersionMax="47" xr10:uidLastSave="{00000000-0000-0000-0000-000000000000}"/>
  <bookViews>
    <workbookView xWindow="-120" yWindow="-120" windowWidth="29040" windowHeight="15720" xr2:uid="{6730936D-CD21-4A78-AF42-1B4B83F36B45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M12" i="1"/>
  <c r="C20" i="2" l="1"/>
  <c r="N10" i="1" l="1"/>
  <c r="E7" i="2" s="1"/>
  <c r="N11" i="1"/>
  <c r="E6" i="2" s="1"/>
  <c r="D48" i="1"/>
  <c r="D49" i="1"/>
  <c r="D47" i="1"/>
  <c r="D46" i="1"/>
  <c r="D45" i="1"/>
  <c r="G41" i="1"/>
  <c r="M11" i="1"/>
  <c r="M10" i="1"/>
  <c r="M9" i="1"/>
  <c r="G50" i="1" l="1"/>
  <c r="D37" i="1"/>
  <c r="D6" i="2" s="1"/>
  <c r="F43" i="1"/>
  <c r="F44" i="1"/>
  <c r="F35" i="1"/>
  <c r="D41" i="1"/>
  <c r="D31" i="1"/>
  <c r="D8" i="2" s="1"/>
  <c r="D29" i="1"/>
  <c r="B8" i="2" s="1"/>
  <c r="F50" i="1"/>
  <c r="F29" i="1"/>
  <c r="F30" i="1"/>
  <c r="C18" i="2" s="1"/>
  <c r="F31" i="1"/>
  <c r="C19" i="2" s="1"/>
  <c r="F37" i="1"/>
  <c r="F38" i="1"/>
  <c r="F39" i="1"/>
  <c r="F41" i="1"/>
  <c r="D28" i="1"/>
  <c r="C16" i="2" s="1"/>
  <c r="F17" i="2" s="1"/>
  <c r="C38" i="1"/>
  <c r="C37" i="1"/>
  <c r="C6" i="3"/>
  <c r="B6" i="3"/>
  <c r="D6" i="3"/>
  <c r="C42" i="1"/>
  <c r="C41" i="1"/>
  <c r="C35" i="1"/>
  <c r="C17" i="2" s="1"/>
  <c r="F16" i="2" s="1"/>
  <c r="C32" i="1"/>
  <c r="C31" i="1"/>
  <c r="C21" i="2"/>
  <c r="C29" i="1"/>
  <c r="C28" i="1"/>
  <c r="C6" i="2" l="1"/>
  <c r="C9" i="2" s="1"/>
  <c r="B11" i="2"/>
  <c r="F18" i="2"/>
  <c r="F19" i="2" s="1"/>
  <c r="B9" i="2"/>
  <c r="B10" i="2" s="1"/>
  <c r="F32" i="1"/>
  <c r="C30" i="1"/>
  <c r="C43" i="1"/>
  <c r="C39" i="1"/>
  <c r="C34" i="1"/>
  <c r="D30" i="1"/>
  <c r="F20" i="2" l="1"/>
  <c r="F21" i="2" s="1"/>
  <c r="D10" i="2"/>
  <c r="C10" i="2" l="1"/>
</calcChain>
</file>

<file path=xl/sharedStrings.xml><?xml version="1.0" encoding="utf-8"?>
<sst xmlns="http://schemas.openxmlformats.org/spreadsheetml/2006/main" count="104" uniqueCount="103">
  <si>
    <t>Schutzart</t>
  </si>
  <si>
    <t>Betriebsart</t>
  </si>
  <si>
    <t>Isolationsklasse</t>
  </si>
  <si>
    <t>Drehzahl:</t>
  </si>
  <si>
    <t>Diagrammdaten:</t>
  </si>
  <si>
    <t>p</t>
  </si>
  <si>
    <t>U (V)</t>
  </si>
  <si>
    <r>
      <t>R</t>
    </r>
    <r>
      <rPr>
        <sz val="5"/>
        <rFont val="Arial"/>
        <family val="2"/>
      </rPr>
      <t>U-V</t>
    </r>
    <r>
      <rPr>
        <sz val="10"/>
        <rFont val="Arial"/>
        <family val="2"/>
      </rPr>
      <t xml:space="preserve"> (Ω)</t>
    </r>
  </si>
  <si>
    <r>
      <t>I</t>
    </r>
    <r>
      <rPr>
        <sz val="5"/>
        <rFont val="Arial"/>
        <family val="2"/>
      </rPr>
      <t>max</t>
    </r>
    <r>
      <rPr>
        <sz val="10"/>
        <rFont val="Arial"/>
        <family val="2"/>
      </rPr>
      <t xml:space="preserve"> (A)</t>
    </r>
  </si>
  <si>
    <t>Berechnungsdaten:</t>
  </si>
  <si>
    <t>Polzahl</t>
  </si>
  <si>
    <t>Rotorträgheitsmoment, JR (kg∙cm²)</t>
  </si>
  <si>
    <t>Max. Zulässige Spannung(V)</t>
  </si>
  <si>
    <t>S1</t>
  </si>
  <si>
    <t>F</t>
  </si>
  <si>
    <t>Wirkungsgrad</t>
  </si>
  <si>
    <t>Gewicht, m (kg)</t>
  </si>
  <si>
    <t>Getriebe</t>
  </si>
  <si>
    <t>Übersetzung</t>
  </si>
  <si>
    <t>Technisches Datenblatt</t>
  </si>
  <si>
    <t>Maximale Drehzahl</t>
  </si>
  <si>
    <t>Not-Aus-Moment</t>
  </si>
  <si>
    <t xml:space="preserve">Erstellt durch: </t>
  </si>
  <si>
    <t>Datum:</t>
  </si>
  <si>
    <t>IP69K</t>
  </si>
  <si>
    <t>Max. Beschleunigungsmoment</t>
  </si>
  <si>
    <t>Umgebungstemperatur</t>
  </si>
  <si>
    <t>-10 bis/to 25</t>
  </si>
  <si>
    <t>tbd</t>
  </si>
  <si>
    <t xml:space="preserve">  Data sheet</t>
  </si>
  <si>
    <r>
      <t xml:space="preserve">M_n S1-Betrieb (Erwärmung Wicklung: Δ100K / Gehäuse: Δ80K)
</t>
    </r>
    <r>
      <rPr>
        <i/>
        <sz val="10"/>
        <rFont val="Arial"/>
        <family val="2"/>
      </rPr>
      <t>M_n S1-Duty (Temp.rise winding: Δ100K / housing: Δ80K)</t>
    </r>
  </si>
  <si>
    <r>
      <t xml:space="preserve">M_n S1-Betrieb (Erwärmung Wicklung: Δ60K / Gehäuse: Δ40K)
</t>
    </r>
    <r>
      <rPr>
        <i/>
        <sz val="10"/>
        <rFont val="Arial"/>
        <family val="2"/>
      </rPr>
      <t>M_n S1-Duty (Temp.rise winding: Δ60K / housing: Δ40K)</t>
    </r>
  </si>
  <si>
    <t xml:space="preserve">Rating nach DIN EN 60034 (Rating according to DIN EN 60034) 
* Werte bei 20°C (Values at 20°C) 
** Werte bei 200 minˉ¹ (Values at 200 minˉ¹) 
*** Kurzzeitbetrieb max. 3s (Short-time operation max. 3s) 
**** geschätzter Wert (estimated value) </t>
  </si>
  <si>
    <r>
      <t xml:space="preserve">Bezeichnung: 
</t>
    </r>
    <r>
      <rPr>
        <i/>
        <sz val="10"/>
        <rFont val="Function"/>
      </rPr>
      <t>Designation:</t>
    </r>
  </si>
  <si>
    <r>
      <t xml:space="preserve">Getriebemotor:
</t>
    </r>
    <r>
      <rPr>
        <i/>
        <sz val="10"/>
        <rFont val="Function"/>
      </rPr>
      <t>Gear Motor:</t>
    </r>
  </si>
  <si>
    <r>
      <t>Bemessungsspannung, U</t>
    </r>
    <r>
      <rPr>
        <sz val="5"/>
        <rFont val="Function"/>
      </rPr>
      <t>N</t>
    </r>
    <r>
      <rPr>
        <sz val="12"/>
        <rFont val="Function"/>
      </rPr>
      <t xml:space="preserve"> (V)</t>
    </r>
  </si>
  <si>
    <r>
      <t>Bemessungsdrehzahl, n</t>
    </r>
    <r>
      <rPr>
        <sz val="5"/>
        <rFont val="Function"/>
      </rPr>
      <t>N</t>
    </r>
    <r>
      <rPr>
        <sz val="12"/>
        <rFont val="Function"/>
      </rPr>
      <t xml:space="preserve"> (minˉ¹)</t>
    </r>
  </si>
  <si>
    <r>
      <t>Bemessungsdrehmoment, M</t>
    </r>
    <r>
      <rPr>
        <sz val="5"/>
        <rFont val="Function"/>
      </rPr>
      <t>N</t>
    </r>
    <r>
      <rPr>
        <sz val="12"/>
        <rFont val="Function"/>
      </rPr>
      <t xml:space="preserve"> (Nm)</t>
    </r>
  </si>
  <si>
    <r>
      <t>Stillstandsmoment M</t>
    </r>
    <r>
      <rPr>
        <vertAlign val="subscript"/>
        <sz val="12"/>
        <rFont val="Function"/>
      </rPr>
      <t>0</t>
    </r>
    <r>
      <rPr>
        <sz val="12"/>
        <rFont val="Function"/>
      </rPr>
      <t xml:space="preserve"> (Nm)</t>
    </r>
  </si>
  <si>
    <r>
      <t>Spitzenmoment, M</t>
    </r>
    <r>
      <rPr>
        <sz val="5"/>
        <rFont val="Function"/>
      </rPr>
      <t>max</t>
    </r>
    <r>
      <rPr>
        <sz val="12"/>
        <rFont val="Function"/>
      </rPr>
      <t xml:space="preserve"> (Nm)</t>
    </r>
  </si>
  <si>
    <r>
      <t>Bemessungsstrom, I</t>
    </r>
    <r>
      <rPr>
        <sz val="5"/>
        <rFont val="Function"/>
      </rPr>
      <t>N</t>
    </r>
    <r>
      <rPr>
        <sz val="12"/>
        <rFont val="Function"/>
      </rPr>
      <t xml:space="preserve"> (A)</t>
    </r>
  </si>
  <si>
    <r>
      <t>Stillstandsstrom I</t>
    </r>
    <r>
      <rPr>
        <vertAlign val="subscript"/>
        <sz val="12"/>
        <rFont val="Function"/>
      </rPr>
      <t>0</t>
    </r>
    <r>
      <rPr>
        <sz val="12"/>
        <rFont val="Function"/>
      </rPr>
      <t xml:space="preserve"> (A)</t>
    </r>
  </si>
  <si>
    <r>
      <t>Spitzenstrom, I</t>
    </r>
    <r>
      <rPr>
        <sz val="5"/>
        <rFont val="Function"/>
      </rPr>
      <t>max</t>
    </r>
    <r>
      <rPr>
        <sz val="12"/>
        <rFont val="Function"/>
      </rPr>
      <t xml:space="preserve"> (A)</t>
    </r>
  </si>
  <si>
    <r>
      <t>Spannungskonstante, K</t>
    </r>
    <r>
      <rPr>
        <sz val="5"/>
        <rFont val="Function"/>
      </rPr>
      <t>e</t>
    </r>
    <r>
      <rPr>
        <sz val="12"/>
        <rFont val="Function"/>
      </rPr>
      <t xml:space="preserve"> (V/1000 minˉ¹)</t>
    </r>
  </si>
  <si>
    <r>
      <t>Ständerwiederstand, R</t>
    </r>
    <r>
      <rPr>
        <sz val="5"/>
        <rFont val="Function"/>
      </rPr>
      <t>U-V</t>
    </r>
    <r>
      <rPr>
        <sz val="12"/>
        <rFont val="Function"/>
      </rPr>
      <t xml:space="preserve"> (Ω)</t>
    </r>
  </si>
  <si>
    <r>
      <t>Ständerinduktivität, L</t>
    </r>
    <r>
      <rPr>
        <sz val="5"/>
        <rFont val="Function"/>
      </rPr>
      <t>U-V</t>
    </r>
    <r>
      <rPr>
        <sz val="12"/>
        <rFont val="Function"/>
      </rPr>
      <t xml:space="preserve"> (mH)</t>
    </r>
  </si>
  <si>
    <r>
      <t>Thermische Konstante T</t>
    </r>
    <r>
      <rPr>
        <sz val="5"/>
        <rFont val="Function"/>
      </rPr>
      <t>Therm</t>
    </r>
    <r>
      <rPr>
        <sz val="12"/>
        <rFont val="Function"/>
      </rPr>
      <t xml:space="preserve"> (min)</t>
    </r>
  </si>
  <si>
    <r>
      <t xml:space="preserve">Technische Daten:
</t>
    </r>
    <r>
      <rPr>
        <i/>
        <sz val="12"/>
        <rFont val="Function"/>
      </rPr>
      <t>Technical data:</t>
    </r>
  </si>
  <si>
    <r>
      <t xml:space="preserve">Motor </t>
    </r>
    <r>
      <rPr>
        <b/>
        <vertAlign val="superscript"/>
        <sz val="14"/>
        <rFont val="Function"/>
      </rPr>
      <t>1</t>
    </r>
  </si>
  <si>
    <r>
      <t>Bemessungsspannung, U</t>
    </r>
    <r>
      <rPr>
        <sz val="5"/>
        <rFont val="Function"/>
      </rPr>
      <t>N</t>
    </r>
    <r>
      <rPr>
        <sz val="12"/>
        <rFont val="Function"/>
      </rPr>
      <t xml:space="preserve"> (V)
</t>
    </r>
    <r>
      <rPr>
        <i/>
        <sz val="10"/>
        <rFont val="Function"/>
      </rPr>
      <t>Rated voltage</t>
    </r>
  </si>
  <si>
    <r>
      <t>Bemessungsdrehzahl, n</t>
    </r>
    <r>
      <rPr>
        <sz val="5"/>
        <rFont val="Function"/>
      </rPr>
      <t>N</t>
    </r>
    <r>
      <rPr>
        <sz val="12"/>
        <rFont val="Function"/>
      </rPr>
      <t xml:space="preserve"> (minˉ¹)
</t>
    </r>
    <r>
      <rPr>
        <i/>
        <sz val="10"/>
        <rFont val="Function"/>
      </rPr>
      <t>Rated speed</t>
    </r>
  </si>
  <si>
    <r>
      <t xml:space="preserve">Polzahl
</t>
    </r>
    <r>
      <rPr>
        <i/>
        <sz val="10"/>
        <rFont val="Function"/>
      </rPr>
      <t>Number of poles</t>
    </r>
  </si>
  <si>
    <r>
      <t>Bemessungsleistung, P</t>
    </r>
    <r>
      <rPr>
        <sz val="5"/>
        <rFont val="Function"/>
      </rPr>
      <t>N</t>
    </r>
    <r>
      <rPr>
        <sz val="12"/>
        <rFont val="Function"/>
      </rPr>
      <t xml:space="preserve"> (kW)
</t>
    </r>
    <r>
      <rPr>
        <i/>
        <sz val="10"/>
        <rFont val="Function"/>
      </rPr>
      <t>Rated power</t>
    </r>
  </si>
  <si>
    <r>
      <t>Ständerwiderstand, R</t>
    </r>
    <r>
      <rPr>
        <sz val="5"/>
        <rFont val="Function"/>
      </rPr>
      <t>U-V</t>
    </r>
    <r>
      <rPr>
        <sz val="12"/>
        <rFont val="Function"/>
      </rPr>
      <t xml:space="preserve"> (Ω)*
</t>
    </r>
    <r>
      <rPr>
        <i/>
        <sz val="10"/>
        <rFont val="Function"/>
      </rPr>
      <t>Stator resistance</t>
    </r>
  </si>
  <si>
    <r>
      <t>Bemessungsdrehmoment, M</t>
    </r>
    <r>
      <rPr>
        <sz val="5"/>
        <rFont val="Function"/>
      </rPr>
      <t>N</t>
    </r>
    <r>
      <rPr>
        <sz val="12"/>
        <rFont val="Function"/>
      </rPr>
      <t xml:space="preserve"> (Nm)
</t>
    </r>
    <r>
      <rPr>
        <i/>
        <sz val="10"/>
        <rFont val="Function"/>
      </rPr>
      <t>Rated torque</t>
    </r>
  </si>
  <si>
    <r>
      <t>Ständerinduktivität, L</t>
    </r>
    <r>
      <rPr>
        <sz val="5"/>
        <rFont val="Function"/>
      </rPr>
      <t>U-V</t>
    </r>
    <r>
      <rPr>
        <sz val="12"/>
        <rFont val="Function"/>
      </rPr>
      <t xml:space="preserve"> (mH)
</t>
    </r>
    <r>
      <rPr>
        <i/>
        <sz val="10"/>
        <rFont val="Function"/>
      </rPr>
      <t>Stator inductance</t>
    </r>
  </si>
  <si>
    <r>
      <t>Bemessungsstrom, I</t>
    </r>
    <r>
      <rPr>
        <sz val="5"/>
        <rFont val="Function"/>
      </rPr>
      <t>N</t>
    </r>
    <r>
      <rPr>
        <sz val="12"/>
        <rFont val="Function"/>
      </rPr>
      <t xml:space="preserve"> (A)
</t>
    </r>
    <r>
      <rPr>
        <i/>
        <sz val="10"/>
        <rFont val="Function"/>
      </rPr>
      <t>Rated current</t>
    </r>
  </si>
  <si>
    <r>
      <t>Elektr. Zeitkonstante, T</t>
    </r>
    <r>
      <rPr>
        <sz val="5"/>
        <rFont val="Function"/>
      </rPr>
      <t>el</t>
    </r>
    <r>
      <rPr>
        <sz val="12"/>
        <rFont val="Function"/>
      </rPr>
      <t xml:space="preserve"> (ms)
</t>
    </r>
    <r>
      <rPr>
        <i/>
        <sz val="10"/>
        <rFont val="Function"/>
      </rPr>
      <t>Electrical time constant</t>
    </r>
  </si>
  <si>
    <r>
      <t>Bemessungsdrehmomentkonstante, K</t>
    </r>
    <r>
      <rPr>
        <sz val="5"/>
        <rFont val="Function"/>
      </rPr>
      <t>TN</t>
    </r>
    <r>
      <rPr>
        <sz val="12"/>
        <rFont val="Function"/>
      </rPr>
      <t xml:space="preserve"> (Nm/Aeff)
</t>
    </r>
    <r>
      <rPr>
        <i/>
        <sz val="10"/>
        <rFont val="Function"/>
      </rPr>
      <t xml:space="preserve">Rated torque constant </t>
    </r>
  </si>
  <si>
    <r>
      <t>Spannungskonstante, K</t>
    </r>
    <r>
      <rPr>
        <sz val="5"/>
        <rFont val="Function"/>
      </rPr>
      <t>e</t>
    </r>
    <r>
      <rPr>
        <sz val="12"/>
        <rFont val="Function"/>
      </rPr>
      <t xml:space="preserve"> (V/1000 minˉ¹)
</t>
    </r>
    <r>
      <rPr>
        <i/>
        <sz val="10"/>
        <rFont val="Function"/>
      </rPr>
      <t>Voltage constant</t>
    </r>
  </si>
  <si>
    <r>
      <t xml:space="preserve">Max. zulässige Spannung, U (V)
</t>
    </r>
    <r>
      <rPr>
        <i/>
        <sz val="10"/>
        <rFont val="Function"/>
      </rPr>
      <t>Max. possible voltage</t>
    </r>
  </si>
  <si>
    <r>
      <t>Stillstandsmoment, M</t>
    </r>
    <r>
      <rPr>
        <sz val="5"/>
        <rFont val="Function"/>
      </rPr>
      <t>O</t>
    </r>
    <r>
      <rPr>
        <sz val="12"/>
        <rFont val="Function"/>
      </rPr>
      <t xml:space="preserve"> (Nm) **
</t>
    </r>
    <r>
      <rPr>
        <i/>
        <sz val="10"/>
        <rFont val="Function"/>
      </rPr>
      <t>Stall torque</t>
    </r>
  </si>
  <si>
    <r>
      <t xml:space="preserve">Schutzart
</t>
    </r>
    <r>
      <rPr>
        <i/>
        <sz val="10"/>
        <rFont val="Function"/>
      </rPr>
      <t>Degree of protection</t>
    </r>
  </si>
  <si>
    <r>
      <t>Stillstandsstrom, I</t>
    </r>
    <r>
      <rPr>
        <sz val="5"/>
        <rFont val="Function"/>
      </rPr>
      <t>O</t>
    </r>
    <r>
      <rPr>
        <sz val="12"/>
        <rFont val="Function"/>
      </rPr>
      <t xml:space="preserve"> (A) **
</t>
    </r>
    <r>
      <rPr>
        <i/>
        <sz val="10"/>
        <rFont val="Function"/>
      </rPr>
      <t>Stall current</t>
    </r>
  </si>
  <si>
    <r>
      <t xml:space="preserve">Betriebsart
</t>
    </r>
    <r>
      <rPr>
        <i/>
        <sz val="10"/>
        <rFont val="Function"/>
      </rPr>
      <t>Duty type</t>
    </r>
  </si>
  <si>
    <r>
      <t>Stillstandsdrehmomentkonstante, K</t>
    </r>
    <r>
      <rPr>
        <sz val="5"/>
        <rFont val="Function"/>
      </rPr>
      <t>TO</t>
    </r>
    <r>
      <rPr>
        <sz val="12"/>
        <rFont val="Function"/>
      </rPr>
      <t xml:space="preserve"> (Nm/A)
</t>
    </r>
    <r>
      <rPr>
        <i/>
        <sz val="10"/>
        <rFont val="Function"/>
      </rPr>
      <t>Stall torque constant</t>
    </r>
  </si>
  <si>
    <r>
      <t xml:space="preserve">Isolationsklasse
</t>
    </r>
    <r>
      <rPr>
        <i/>
        <sz val="10"/>
        <rFont val="Function"/>
      </rPr>
      <t>Insulation class</t>
    </r>
  </si>
  <si>
    <r>
      <t>Spitzenmoment, M</t>
    </r>
    <r>
      <rPr>
        <sz val="5"/>
        <rFont val="Function"/>
      </rPr>
      <t>max</t>
    </r>
    <r>
      <rPr>
        <sz val="12"/>
        <rFont val="Function"/>
      </rPr>
      <t xml:space="preserve"> (Nm) ***
</t>
    </r>
    <r>
      <rPr>
        <i/>
        <sz val="10"/>
        <rFont val="Function"/>
      </rPr>
      <t>Peak torque</t>
    </r>
  </si>
  <si>
    <r>
      <t>Rotorträgheitsmoment, J</t>
    </r>
    <r>
      <rPr>
        <sz val="5"/>
        <rFont val="Function"/>
      </rPr>
      <t>R</t>
    </r>
    <r>
      <rPr>
        <sz val="12"/>
        <rFont val="Function"/>
      </rPr>
      <t xml:space="preserve"> (kg∙cm²)
</t>
    </r>
    <r>
      <rPr>
        <i/>
        <sz val="10"/>
        <rFont val="Function"/>
      </rPr>
      <t>Rotor moment of inertia</t>
    </r>
  </si>
  <si>
    <r>
      <t>Spitzenstrom, I</t>
    </r>
    <r>
      <rPr>
        <sz val="5"/>
        <rFont val="Function"/>
      </rPr>
      <t>max</t>
    </r>
    <r>
      <rPr>
        <sz val="12"/>
        <rFont val="Function"/>
      </rPr>
      <t xml:space="preserve"> (A) ***
</t>
    </r>
    <r>
      <rPr>
        <i/>
        <sz val="10"/>
        <rFont val="Function"/>
      </rPr>
      <t>Peak current</t>
    </r>
  </si>
  <si>
    <r>
      <t xml:space="preserve">Gewicht, m (kg) 
</t>
    </r>
    <r>
      <rPr>
        <i/>
        <sz val="10"/>
        <rFont val="Function"/>
      </rPr>
      <t>Weight</t>
    </r>
  </si>
  <si>
    <r>
      <t xml:space="preserve">Spitzendrehmomentkonstante, KT </t>
    </r>
    <r>
      <rPr>
        <sz val="5"/>
        <rFont val="Function"/>
      </rPr>
      <t>max</t>
    </r>
    <r>
      <rPr>
        <sz val="12"/>
        <rFont val="Function"/>
      </rPr>
      <t xml:space="preserve"> (Nm/Aeff)
</t>
    </r>
    <r>
      <rPr>
        <i/>
        <sz val="10"/>
        <rFont val="Function"/>
      </rPr>
      <t>Peak torque constant</t>
    </r>
  </si>
  <si>
    <r>
      <t>Thermische Konstante T</t>
    </r>
    <r>
      <rPr>
        <sz val="5"/>
        <rFont val="Function"/>
      </rPr>
      <t>Therm</t>
    </r>
    <r>
      <rPr>
        <sz val="12"/>
        <rFont val="Function"/>
      </rPr>
      <t xml:space="preserve">  (min)****
</t>
    </r>
    <r>
      <rPr>
        <i/>
        <sz val="10"/>
        <rFont val="Function"/>
      </rPr>
      <t>Termal time constant</t>
    </r>
  </si>
  <si>
    <r>
      <t xml:space="preserve">Zusätzlich Getriebedaten: 
</t>
    </r>
    <r>
      <rPr>
        <i/>
        <sz val="12"/>
        <color theme="0"/>
        <rFont val="Function"/>
      </rPr>
      <t>Additional transmission data:</t>
    </r>
  </si>
  <si>
    <r>
      <t xml:space="preserve">Umgebungstemperatur (°C)
</t>
    </r>
    <r>
      <rPr>
        <i/>
        <sz val="10"/>
        <rFont val="Function"/>
      </rPr>
      <t>Ambient temperature</t>
    </r>
  </si>
  <si>
    <r>
      <t xml:space="preserve">Wirkungsgrad
</t>
    </r>
    <r>
      <rPr>
        <i/>
        <sz val="10"/>
        <rFont val="Function"/>
      </rPr>
      <t>Efficiency</t>
    </r>
  </si>
  <si>
    <r>
      <t xml:space="preserve">Übersetzung
</t>
    </r>
    <r>
      <rPr>
        <i/>
        <sz val="10"/>
        <rFont val="Function"/>
      </rPr>
      <t>Gear ratio</t>
    </r>
  </si>
  <si>
    <r>
      <t xml:space="preserve">Not-Aus-Moment (Nm)
</t>
    </r>
    <r>
      <rPr>
        <i/>
        <sz val="10"/>
        <rFont val="Function"/>
      </rPr>
      <t>Emergency stop torque</t>
    </r>
  </si>
  <si>
    <r>
      <t xml:space="preserve">Max. Beschleunigungsmoment (Nm)
</t>
    </r>
    <r>
      <rPr>
        <i/>
        <sz val="10"/>
        <rFont val="Function"/>
      </rPr>
      <t>Max. acceleration torque</t>
    </r>
  </si>
  <si>
    <r>
      <rPr>
        <b/>
        <vertAlign val="superscript"/>
        <sz val="10"/>
        <rFont val="Function"/>
      </rPr>
      <t xml:space="preserve">1 </t>
    </r>
    <r>
      <rPr>
        <b/>
        <sz val="10"/>
        <rFont val="Function"/>
      </rPr>
      <t xml:space="preserve">Motor: </t>
    </r>
    <r>
      <rPr>
        <sz val="10"/>
        <rFont val="Function"/>
      </rPr>
      <t>Daten ohne Getriebe</t>
    </r>
    <r>
      <rPr>
        <b/>
        <sz val="10"/>
        <rFont val="Function"/>
      </rPr>
      <t xml:space="preserve">
   </t>
    </r>
    <r>
      <rPr>
        <i/>
        <sz val="10"/>
        <rFont val="Function"/>
      </rPr>
      <t>Motor data without gearbox</t>
    </r>
  </si>
  <si>
    <r>
      <t>Max. Drehzahl (min</t>
    </r>
    <r>
      <rPr>
        <vertAlign val="superscript"/>
        <sz val="10"/>
        <rFont val="Function"/>
      </rPr>
      <t>-1</t>
    </r>
    <r>
      <rPr>
        <sz val="10"/>
        <rFont val="Function"/>
      </rPr>
      <t>)
Maximum speed</t>
    </r>
  </si>
  <si>
    <r>
      <rPr>
        <b/>
        <vertAlign val="superscript"/>
        <sz val="10"/>
        <color theme="0"/>
        <rFont val="Function"/>
      </rPr>
      <t xml:space="preserve">2 </t>
    </r>
    <r>
      <rPr>
        <b/>
        <sz val="10"/>
        <color theme="0"/>
        <rFont val="Function"/>
      </rPr>
      <t>Getriebemotor:</t>
    </r>
    <r>
      <rPr>
        <sz val="10"/>
        <color theme="0"/>
        <rFont val="Function"/>
      </rPr>
      <t xml:space="preserve"> Daten berücksichtigen Getriebeverluste 
   Gear motor data with derating  due to gearbox</t>
    </r>
  </si>
  <si>
    <r>
      <rPr>
        <b/>
        <sz val="14"/>
        <rFont val="Function"/>
      </rPr>
      <t xml:space="preserve">Kennlinie Getriebemotor: </t>
    </r>
    <r>
      <rPr>
        <sz val="14"/>
        <rFont val="Function"/>
      </rPr>
      <t xml:space="preserve">
</t>
    </r>
    <r>
      <rPr>
        <i/>
        <sz val="10"/>
        <rFont val="Function"/>
      </rPr>
      <t>Characteristic Curve of Gear Motor:</t>
    </r>
  </si>
  <si>
    <r>
      <t xml:space="preserve">M_max bei 0,85*U_n
</t>
    </r>
    <r>
      <rPr>
        <i/>
        <sz val="10"/>
        <rFont val="Arial"/>
        <family val="2"/>
      </rPr>
      <t>M_max at 0.85*U_n</t>
    </r>
  </si>
  <si>
    <t>BOT</t>
  </si>
  <si>
    <r>
      <rPr>
        <b/>
        <sz val="12"/>
        <color theme="0"/>
        <rFont val="Function"/>
      </rPr>
      <t xml:space="preserve">Getriebemotor </t>
    </r>
    <r>
      <rPr>
        <b/>
        <vertAlign val="superscript"/>
        <sz val="12"/>
        <color theme="0"/>
        <rFont val="Function"/>
      </rPr>
      <t xml:space="preserve">2
</t>
    </r>
    <r>
      <rPr>
        <i/>
        <vertAlign val="superscript"/>
        <sz val="12"/>
        <color theme="0"/>
        <rFont val="Function"/>
      </rPr>
      <t>Gear motor</t>
    </r>
  </si>
  <si>
    <r>
      <t xml:space="preserve">Getriebemotor </t>
    </r>
    <r>
      <rPr>
        <b/>
        <vertAlign val="superscript"/>
        <sz val="12"/>
        <color theme="0"/>
        <rFont val="Function"/>
      </rPr>
      <t xml:space="preserve">2
</t>
    </r>
    <r>
      <rPr>
        <i/>
        <vertAlign val="superscript"/>
        <sz val="12"/>
        <color theme="0"/>
        <rFont val="Function"/>
      </rPr>
      <t>Gear motor</t>
    </r>
  </si>
  <si>
    <t>KSG 5612.25 HD  R4 / 400.0</t>
  </si>
  <si>
    <t>omega_eck</t>
  </si>
  <si>
    <r>
      <t>L</t>
    </r>
    <r>
      <rPr>
        <sz val="5"/>
        <rFont val="Arial"/>
        <family val="2"/>
      </rPr>
      <t>U-V</t>
    </r>
    <r>
      <rPr>
        <sz val="10"/>
        <rFont val="Arial"/>
        <family val="2"/>
      </rPr>
      <t xml:space="preserve"> (H)</t>
    </r>
  </si>
  <si>
    <r>
      <t>K</t>
    </r>
    <r>
      <rPr>
        <sz val="5"/>
        <rFont val="Arial"/>
        <family val="2"/>
      </rPr>
      <t>e</t>
    </r>
    <r>
      <rPr>
        <sz val="10"/>
        <rFont val="Arial"/>
        <family val="2"/>
      </rPr>
      <t xml:space="preserve"> (V/minˉ¹)</t>
    </r>
  </si>
  <si>
    <t>n_eck</t>
  </si>
  <si>
    <t>M_eck</t>
  </si>
  <si>
    <t>P_eck</t>
  </si>
  <si>
    <t>Bemessungs-Leiterspannung U_ph,max</t>
  </si>
  <si>
    <t>V</t>
  </si>
  <si>
    <t>K_e</t>
  </si>
  <si>
    <t>Flussverkettung</t>
  </si>
  <si>
    <t>Vs</t>
  </si>
  <si>
    <t>1/s</t>
  </si>
  <si>
    <t>1/min</t>
  </si>
  <si>
    <t>Nm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</si>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</sst>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sz val="10"/>
      <name val="Function"/>
    </font>
    <font>
      <b/>
      <sz val="30"/>
      <color indexed="56"/>
      <name val="Function"/>
    </font>
    <font>
      <b/>
      <sz val="26"/>
      <color rgb="FF002060"/>
      <name val="Function"/>
    </font>
    <font>
      <b/>
      <sz val="8"/>
      <name val="Function"/>
    </font>
    <font>
      <b/>
      <u/>
      <sz val="10"/>
      <name val="Function"/>
    </font>
    <font>
      <b/>
      <sz val="10"/>
      <name val="Function"/>
    </font>
    <font>
      <b/>
      <sz val="14"/>
      <name val="Function"/>
    </font>
    <font>
      <i/>
      <sz val="10"/>
      <name val="Function"/>
    </font>
    <font>
      <sz val="14"/>
      <name val="Function"/>
    </font>
    <font>
      <sz val="12"/>
      <name val="Function"/>
    </font>
    <font>
      <sz val="5"/>
      <name val="Function"/>
    </font>
    <font>
      <sz val="10"/>
      <color rgb="FFFF0000"/>
      <name val="Function"/>
    </font>
    <font>
      <vertAlign val="subscript"/>
      <sz val="12"/>
      <name val="Function"/>
    </font>
    <font>
      <i/>
      <sz val="12"/>
      <name val="Function"/>
    </font>
    <font>
      <b/>
      <vertAlign val="superscript"/>
      <sz val="14"/>
      <name val="Function"/>
    </font>
    <font>
      <i/>
      <vertAlign val="superscript"/>
      <sz val="12"/>
      <color theme="0"/>
      <name val="Function"/>
    </font>
    <font>
      <sz val="12"/>
      <color theme="0"/>
      <name val="Function"/>
    </font>
    <font>
      <b/>
      <u/>
      <sz val="12"/>
      <name val="Function"/>
    </font>
    <font>
      <b/>
      <sz val="12"/>
      <color theme="0"/>
      <name val="Function"/>
    </font>
    <font>
      <i/>
      <sz val="12"/>
      <color theme="0"/>
      <name val="Function"/>
    </font>
    <font>
      <b/>
      <vertAlign val="superscript"/>
      <sz val="10"/>
      <name val="Function"/>
    </font>
    <font>
      <vertAlign val="superscript"/>
      <sz val="10"/>
      <name val="Function"/>
    </font>
    <font>
      <sz val="10"/>
      <color theme="0"/>
      <name val="Function"/>
    </font>
    <font>
      <b/>
      <vertAlign val="superscript"/>
      <sz val="10"/>
      <color theme="0"/>
      <name val="Function"/>
    </font>
    <font>
      <b/>
      <sz val="10"/>
      <color theme="0"/>
      <name val="Function"/>
    </font>
    <font>
      <b/>
      <vertAlign val="superscript"/>
      <sz val="12"/>
      <color theme="0"/>
      <name val="Function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3D7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7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2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 wrapText="1"/>
    </xf>
    <xf numFmtId="0" fontId="10" fillId="0" borderId="0" xfId="0" applyFont="1"/>
    <xf numFmtId="2" fontId="10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2" fontId="13" fillId="0" borderId="0" xfId="0" applyNumberFormat="1" applyFont="1" applyAlignment="1">
      <alignment horizontal="right"/>
    </xf>
    <xf numFmtId="0" fontId="14" fillId="0" borderId="0" xfId="0" applyFont="1"/>
    <xf numFmtId="2" fontId="15" fillId="0" borderId="0" xfId="0" applyNumberFormat="1" applyFont="1" applyAlignment="1">
      <alignment horizontal="right"/>
    </xf>
    <xf numFmtId="0" fontId="10" fillId="0" borderId="7" xfId="0" applyFont="1" applyBorder="1"/>
    <xf numFmtId="0" fontId="10" fillId="0" borderId="19" xfId="0" applyFont="1" applyBorder="1" applyAlignment="1">
      <alignment horizontal="center"/>
    </xf>
    <xf numFmtId="0" fontId="16" fillId="0" borderId="0" xfId="0" applyFont="1" applyAlignment="1">
      <alignment wrapText="1"/>
    </xf>
    <xf numFmtId="0" fontId="10" fillId="0" borderId="31" xfId="0" applyFont="1" applyBorder="1"/>
    <xf numFmtId="14" fontId="10" fillId="0" borderId="19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" fontId="10" fillId="0" borderId="7" xfId="0" applyNumberFormat="1" applyFont="1" applyBorder="1" applyAlignment="1">
      <alignment horizontal="right"/>
    </xf>
    <xf numFmtId="0" fontId="19" fillId="2" borderId="30" xfId="0" applyFont="1" applyFill="1" applyBorder="1"/>
    <xf numFmtId="0" fontId="10" fillId="0" borderId="4" xfId="0" applyFont="1" applyBorder="1"/>
    <xf numFmtId="0" fontId="19" fillId="2" borderId="20" xfId="0" applyFont="1" applyFill="1" applyBorder="1"/>
    <xf numFmtId="0" fontId="10" fillId="4" borderId="1" xfId="0" applyFont="1" applyFill="1" applyBorder="1" applyAlignment="1">
      <alignment horizontal="center"/>
    </xf>
    <xf numFmtId="0" fontId="21" fillId="3" borderId="3" xfId="0" applyFont="1" applyFill="1" applyBorder="1"/>
    <xf numFmtId="0" fontId="10" fillId="0" borderId="44" xfId="0" applyFont="1" applyBorder="1"/>
    <xf numFmtId="0" fontId="10" fillId="3" borderId="1" xfId="0" applyFont="1" applyFill="1" applyBorder="1" applyAlignment="1">
      <alignment horizontal="center"/>
    </xf>
    <xf numFmtId="164" fontId="21" fillId="3" borderId="3" xfId="0" applyNumberFormat="1" applyFont="1" applyFill="1" applyBorder="1"/>
    <xf numFmtId="0" fontId="10" fillId="0" borderId="38" xfId="0" applyFont="1" applyBorder="1"/>
    <xf numFmtId="0" fontId="10" fillId="0" borderId="39" xfId="0" applyFont="1" applyBorder="1"/>
    <xf numFmtId="164" fontId="21" fillId="3" borderId="2" xfId="0" applyNumberFormat="1" applyFont="1" applyFill="1" applyBorder="1"/>
    <xf numFmtId="0" fontId="10" fillId="3" borderId="3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9" fillId="0" borderId="12" xfId="0" applyFont="1" applyBorder="1" applyAlignment="1">
      <alignment vertical="top"/>
    </xf>
    <xf numFmtId="0" fontId="10" fillId="3" borderId="2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4" borderId="3" xfId="0" applyFont="1" applyFill="1" applyBorder="1"/>
    <xf numFmtId="0" fontId="10" fillId="4" borderId="20" xfId="0" applyFont="1" applyFill="1" applyBorder="1" applyAlignment="1">
      <alignment horizontal="center"/>
    </xf>
    <xf numFmtId="2" fontId="19" fillId="2" borderId="34" xfId="0" applyNumberFormat="1" applyFont="1" applyFill="1" applyBorder="1" applyAlignment="1">
      <alignment horizontal="left"/>
    </xf>
    <xf numFmtId="0" fontId="10" fillId="4" borderId="16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6" fillId="0" borderId="9" xfId="0" applyFont="1" applyBorder="1" applyAlignment="1">
      <alignment vertical="top" wrapText="1"/>
    </xf>
    <xf numFmtId="0" fontId="16" fillId="0" borderId="31" xfId="0" applyFont="1" applyBorder="1" applyAlignment="1">
      <alignment vertical="top" wrapText="1"/>
    </xf>
    <xf numFmtId="0" fontId="16" fillId="4" borderId="9" xfId="0" applyFont="1" applyFill="1" applyBorder="1" applyAlignment="1">
      <alignment horizontal="center" vertical="center" textRotation="135"/>
    </xf>
    <xf numFmtId="0" fontId="16" fillId="4" borderId="9" xfId="0" applyFont="1" applyFill="1" applyBorder="1" applyAlignment="1">
      <alignment horizontal="right" vertical="center" textRotation="135"/>
    </xf>
    <xf numFmtId="0" fontId="16" fillId="0" borderId="0" xfId="0" applyFont="1" applyAlignment="1">
      <alignment horizontal="center" vertical="top" wrapText="1"/>
    </xf>
    <xf numFmtId="1" fontId="19" fillId="4" borderId="40" xfId="0" applyNumberFormat="1" applyFont="1" applyFill="1" applyBorder="1" applyAlignment="1">
      <alignment horizontal="center" vertical="center"/>
    </xf>
    <xf numFmtId="1" fontId="26" fillId="6" borderId="37" xfId="0" applyNumberFormat="1" applyFont="1" applyFill="1" applyBorder="1" applyAlignment="1">
      <alignment horizontal="center" vertical="center"/>
    </xf>
    <xf numFmtId="0" fontId="19" fillId="0" borderId="25" xfId="0" applyFont="1" applyBorder="1"/>
    <xf numFmtId="0" fontId="19" fillId="4" borderId="40" xfId="0" applyFont="1" applyFill="1" applyBorder="1" applyAlignment="1">
      <alignment horizontal="center"/>
    </xf>
    <xf numFmtId="0" fontId="26" fillId="6" borderId="26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2" fontId="27" fillId="0" borderId="0" xfId="0" applyNumberFormat="1" applyFont="1" applyAlignment="1">
      <alignment horizontal="left"/>
    </xf>
    <xf numFmtId="0" fontId="19" fillId="0" borderId="0" xfId="0" applyFont="1"/>
    <xf numFmtId="0" fontId="19" fillId="4" borderId="38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19" fillId="0" borderId="10" xfId="0" applyFont="1" applyBorder="1" applyAlignment="1">
      <alignment wrapText="1"/>
    </xf>
    <xf numFmtId="0" fontId="19" fillId="5" borderId="0" xfId="0" applyFont="1" applyFill="1" applyAlignment="1">
      <alignment horizontal="center" vertical="center"/>
    </xf>
    <xf numFmtId="0" fontId="19" fillId="2" borderId="15" xfId="0" applyFont="1" applyFill="1" applyBorder="1"/>
    <xf numFmtId="0" fontId="10" fillId="3" borderId="1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2" fontId="19" fillId="4" borderId="38" xfId="0" applyNumberFormat="1" applyFont="1" applyFill="1" applyBorder="1" applyAlignment="1">
      <alignment horizontal="center" vertical="center"/>
    </xf>
    <xf numFmtId="2" fontId="26" fillId="6" borderId="2" xfId="0" applyNumberFormat="1" applyFont="1" applyFill="1" applyBorder="1" applyAlignment="1">
      <alignment horizontal="center" vertical="center"/>
    </xf>
    <xf numFmtId="0" fontId="19" fillId="2" borderId="13" xfId="0" applyFont="1" applyFill="1" applyBorder="1"/>
    <xf numFmtId="0" fontId="10" fillId="0" borderId="13" xfId="0" applyFont="1" applyBorder="1" applyAlignment="1">
      <alignment horizontal="center"/>
    </xf>
    <xf numFmtId="0" fontId="19" fillId="4" borderId="41" xfId="0" applyFont="1" applyFill="1" applyBorder="1" applyAlignment="1">
      <alignment horizontal="center" vertical="center"/>
    </xf>
    <xf numFmtId="0" fontId="26" fillId="6" borderId="23" xfId="0" applyFont="1" applyFill="1" applyBorder="1" applyAlignment="1">
      <alignment horizontal="center" vertical="center"/>
    </xf>
    <xf numFmtId="0" fontId="19" fillId="0" borderId="22" xfId="0" applyFont="1" applyBorder="1" applyAlignment="1">
      <alignment wrapText="1"/>
    </xf>
    <xf numFmtId="2" fontId="19" fillId="4" borderId="41" xfId="0" applyNumberFormat="1" applyFont="1" applyFill="1" applyBorder="1" applyAlignment="1">
      <alignment horizontal="center" vertical="center"/>
    </xf>
    <xf numFmtId="2" fontId="26" fillId="6" borderId="23" xfId="0" applyNumberFormat="1" applyFont="1" applyFill="1" applyBorder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19" fillId="0" borderId="9" xfId="0" applyFont="1" applyBorder="1"/>
    <xf numFmtId="2" fontId="19" fillId="4" borderId="19" xfId="0" applyNumberFormat="1" applyFont="1" applyFill="1" applyBorder="1" applyAlignment="1">
      <alignment horizontal="center" vertical="center"/>
    </xf>
    <xf numFmtId="2" fontId="26" fillId="6" borderId="24" xfId="0" applyNumberFormat="1" applyFont="1" applyFill="1" applyBorder="1" applyAlignment="1">
      <alignment vertical="center"/>
    </xf>
    <xf numFmtId="2" fontId="19" fillId="5" borderId="0" xfId="0" applyNumberFormat="1" applyFont="1" applyFill="1" applyAlignment="1">
      <alignment vertical="center"/>
    </xf>
    <xf numFmtId="0" fontId="19" fillId="0" borderId="13" xfId="0" applyFont="1" applyBorder="1"/>
    <xf numFmtId="2" fontId="19" fillId="4" borderId="40" xfId="0" applyNumberFormat="1" applyFont="1" applyFill="1" applyBorder="1" applyAlignment="1">
      <alignment horizontal="center" vertical="center" wrapText="1"/>
    </xf>
    <xf numFmtId="2" fontId="26" fillId="6" borderId="37" xfId="0" applyNumberFormat="1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wrapText="1"/>
    </xf>
    <xf numFmtId="0" fontId="19" fillId="4" borderId="40" xfId="0" applyFont="1" applyFill="1" applyBorder="1" applyAlignment="1">
      <alignment horizontal="center" vertical="center" wrapText="1"/>
    </xf>
    <xf numFmtId="2" fontId="26" fillId="6" borderId="26" xfId="0" applyNumberFormat="1" applyFont="1" applyFill="1" applyBorder="1" applyAlignment="1">
      <alignment vertical="center"/>
    </xf>
    <xf numFmtId="0" fontId="19" fillId="0" borderId="0" xfId="0" applyFont="1" applyAlignment="1">
      <alignment wrapText="1"/>
    </xf>
    <xf numFmtId="164" fontId="19" fillId="4" borderId="41" xfId="0" applyNumberFormat="1" applyFont="1" applyFill="1" applyBorder="1" applyAlignment="1">
      <alignment horizontal="center" vertical="center"/>
    </xf>
    <xf numFmtId="0" fontId="19" fillId="2" borderId="17" xfId="0" applyFont="1" applyFill="1" applyBorder="1"/>
    <xf numFmtId="49" fontId="10" fillId="0" borderId="1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26" fillId="6" borderId="24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2" fontId="19" fillId="4" borderId="40" xfId="0" applyNumberFormat="1" applyFont="1" applyFill="1" applyBorder="1" applyAlignment="1">
      <alignment horizontal="center" vertical="center"/>
    </xf>
    <xf numFmtId="2" fontId="26" fillId="6" borderId="37" xfId="0" applyNumberFormat="1" applyFont="1" applyFill="1" applyBorder="1" applyAlignment="1">
      <alignment horizontal="center" vertical="center"/>
    </xf>
    <xf numFmtId="0" fontId="19" fillId="4" borderId="40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/>
    </xf>
    <xf numFmtId="2" fontId="26" fillId="6" borderId="28" xfId="0" applyNumberFormat="1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2" fontId="19" fillId="4" borderId="39" xfId="0" applyNumberFormat="1" applyFont="1" applyFill="1" applyBorder="1" applyAlignment="1">
      <alignment horizontal="center" vertical="center" wrapText="1"/>
    </xf>
    <xf numFmtId="2" fontId="26" fillId="6" borderId="43" xfId="0" applyNumberFormat="1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wrapText="1"/>
    </xf>
    <xf numFmtId="0" fontId="19" fillId="4" borderId="39" xfId="0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wrapText="1"/>
    </xf>
    <xf numFmtId="49" fontId="26" fillId="0" borderId="0" xfId="0" applyNumberFormat="1" applyFont="1" applyAlignment="1">
      <alignment vertical="center" wrapText="1"/>
    </xf>
    <xf numFmtId="1" fontId="26" fillId="6" borderId="4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1" fontId="26" fillId="6" borderId="38" xfId="0" applyNumberFormat="1" applyFont="1" applyFill="1" applyBorder="1" applyAlignment="1">
      <alignment horizontal="center" vertical="center" wrapText="1"/>
    </xf>
    <xf numFmtId="0" fontId="26" fillId="6" borderId="39" xfId="0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top" wrapText="1"/>
    </xf>
    <xf numFmtId="0" fontId="32" fillId="6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14" fontId="10" fillId="0" borderId="0" xfId="0" applyNumberFormat="1" applyFont="1" applyAlignment="1">
      <alignment horizontal="center"/>
    </xf>
    <xf numFmtId="0" fontId="28" fillId="6" borderId="28" xfId="0" applyFont="1" applyFill="1" applyBorder="1" applyAlignment="1">
      <alignment horizontal="center" vertical="top" textRotation="135" wrapText="1"/>
    </xf>
    <xf numFmtId="0" fontId="32" fillId="6" borderId="21" xfId="0" applyFont="1" applyFill="1" applyBorder="1" applyAlignment="1">
      <alignment horizontal="left" vertical="top" wrapText="1"/>
    </xf>
    <xf numFmtId="0" fontId="32" fillId="6" borderId="18" xfId="0" applyFont="1" applyFill="1" applyBorder="1" applyAlignment="1">
      <alignment horizontal="left" vertical="top" wrapText="1"/>
    </xf>
    <xf numFmtId="0" fontId="32" fillId="6" borderId="17" xfId="0" applyFont="1" applyFill="1" applyBorder="1" applyAlignment="1">
      <alignment horizontal="left" vertical="top" wrapText="1"/>
    </xf>
    <xf numFmtId="0" fontId="12" fillId="0" borderId="0" xfId="0" applyFont="1"/>
    <xf numFmtId="0" fontId="19" fillId="0" borderId="42" xfId="0" applyFont="1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9" fillId="0" borderId="18" xfId="0" applyFont="1" applyBorder="1" applyAlignment="1">
      <alignment horizontal="left" wrapText="1"/>
    </xf>
    <xf numFmtId="0" fontId="19" fillId="0" borderId="9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2" fontId="18" fillId="0" borderId="6" xfId="0" applyNumberFormat="1" applyFont="1" applyBorder="1" applyAlignment="1">
      <alignment horizontal="left" wrapText="1"/>
    </xf>
    <xf numFmtId="2" fontId="18" fillId="0" borderId="7" xfId="0" applyNumberFormat="1" applyFont="1" applyBorder="1" applyAlignment="1">
      <alignment horizontal="left" wrapText="1"/>
    </xf>
    <xf numFmtId="0" fontId="19" fillId="0" borderId="42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10" fillId="4" borderId="1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9" fillId="0" borderId="25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19" fillId="0" borderId="10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25" xfId="0" applyFont="1" applyBorder="1" applyAlignment="1">
      <alignment horizontal="left" wrapText="1"/>
    </xf>
    <xf numFmtId="0" fontId="19" fillId="0" borderId="29" xfId="0" applyFont="1" applyBorder="1" applyAlignment="1">
      <alignment horizontal="left" wrapText="1"/>
    </xf>
    <xf numFmtId="0" fontId="19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28" fillId="6" borderId="9" xfId="0" applyFont="1" applyFill="1" applyBorder="1" applyAlignment="1">
      <alignment horizontal="left" wrapText="1"/>
    </xf>
    <xf numFmtId="0" fontId="28" fillId="6" borderId="31" xfId="0" applyFont="1" applyFill="1" applyBorder="1" applyAlignment="1">
      <alignment horizontal="left" wrapText="1"/>
    </xf>
    <xf numFmtId="0" fontId="28" fillId="6" borderId="24" xfId="0" applyFont="1" applyFill="1" applyBorder="1" applyAlignment="1">
      <alignment horizontal="left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49" fontId="26" fillId="6" borderId="33" xfId="0" applyNumberFormat="1" applyFont="1" applyFill="1" applyBorder="1" applyAlignment="1">
      <alignment horizontal="center" vertical="center" wrapText="1"/>
    </xf>
    <xf numFmtId="49" fontId="26" fillId="6" borderId="24" xfId="0" applyNumberFormat="1" applyFont="1" applyFill="1" applyBorder="1" applyAlignment="1">
      <alignment horizontal="center" vertical="center" wrapText="1"/>
    </xf>
    <xf numFmtId="0" fontId="15" fillId="4" borderId="42" xfId="0" applyFont="1" applyFill="1" applyBorder="1" applyAlignment="1">
      <alignment horizontal="left" vertical="top" wrapText="1"/>
    </xf>
    <xf numFmtId="0" fontId="15" fillId="4" borderId="11" xfId="0" applyFont="1" applyFill="1" applyBorder="1" applyAlignment="1">
      <alignment horizontal="left" vertical="top" wrapText="1"/>
    </xf>
    <xf numFmtId="0" fontId="15" fillId="4" borderId="15" xfId="0" applyFont="1" applyFill="1" applyBorder="1" applyAlignment="1">
      <alignment horizontal="left" vertical="top" wrapText="1"/>
    </xf>
    <xf numFmtId="2" fontId="10" fillId="0" borderId="8" xfId="0" applyNumberFormat="1" applyFont="1" applyBorder="1" applyAlignment="1">
      <alignment horizontal="right"/>
    </xf>
    <xf numFmtId="0" fontId="10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32" xfId="0" applyNumberFormat="1" applyFont="1" applyBorder="1" applyAlignment="1">
      <alignment horizontal="right"/>
    </xf>
    <xf numFmtId="0" fontId="10" fillId="0" borderId="0" xfId="0" applyFont="1" applyBorder="1" applyAlignment="1">
      <alignment horizontal="left" vertical="center" wrapText="1"/>
    </xf>
    <xf numFmtId="0" fontId="19" fillId="0" borderId="35" xfId="0" applyFont="1" applyBorder="1" applyAlignment="1">
      <alignment wrapText="1"/>
    </xf>
    <xf numFmtId="0" fontId="19" fillId="0" borderId="5" xfId="0" applyFont="1" applyBorder="1" applyAlignment="1">
      <alignment wrapText="1"/>
    </xf>
    <xf numFmtId="2" fontId="10" fillId="0" borderId="5" xfId="0" applyNumberFormat="1" applyFont="1" applyBorder="1" applyAlignment="1">
      <alignment horizontal="center"/>
    </xf>
    <xf numFmtId="0" fontId="10" fillId="0" borderId="5" xfId="0" applyFont="1" applyBorder="1"/>
    <xf numFmtId="2" fontId="10" fillId="0" borderId="5" xfId="0" applyNumberFormat="1" applyFont="1" applyBorder="1" applyAlignment="1">
      <alignment horizontal="right"/>
    </xf>
    <xf numFmtId="14" fontId="10" fillId="0" borderId="36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3D70"/>
      <color rgb="FFEF1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Tabelle2!$C$5</c:f>
              <c:strCache>
                <c:ptCount val="1"/>
                <c:pt idx="0">
                  <c:v>M_max bei 0,85*U_n
M_max at 0.85*U_n</c:v>
                </c:pt>
              </c:strCache>
            </c:strRef>
          </c:tx>
          <c:spPr>
            <a:ln w="25400">
              <a:solidFill>
                <a:srgbClr val="EF1DA9"/>
              </a:solidFill>
              <a:prstDash val="lgDash"/>
            </a:ln>
          </c:spPr>
          <c:marker>
            <c:symbol val="diamond"/>
            <c:size val="7"/>
            <c:spPr>
              <a:solidFill>
                <a:srgbClr val="EF1DA9"/>
              </a:solidFill>
              <a:ln>
                <a:solidFill>
                  <a:srgbClr val="EF1DA9"/>
                </a:solidFill>
                <a:prstDash val="solid"/>
              </a:ln>
            </c:spPr>
          </c:marker>
          <c:xVal>
            <c:numRef>
              <c:f>(Tabelle2!$B$6,Tabelle2!$B$9,Tabelle2!$B$10,Tabelle2!$B$11)</c:f>
              <c:numCache>
                <c:formatCode>0</c:formatCode>
                <c:ptCount val="4"/>
                <c:pt idx="0">
                  <c:v>0</c:v>
                </c:pt>
                <c:pt idx="1">
                  <c:v>191.46568999831624</c:v>
                </c:pt>
                <c:pt idx="2">
                  <c:v>396.20833580811615</c:v>
                </c:pt>
                <c:pt idx="3">
                  <c:v>418.10389881885652</c:v>
                </c:pt>
              </c:numCache>
            </c:numRef>
          </c:xVal>
          <c:yVal>
            <c:numRef>
              <c:f>(Tabelle2!$C$6,Tabelle2!$C$9,Tabelle2!$C$10,Tabelle2!$C$11)</c:f>
              <c:numCache>
                <c:formatCode>0.0</c:formatCode>
                <c:ptCount val="4"/>
                <c:pt idx="0">
                  <c:v>560.46600000000001</c:v>
                </c:pt>
                <c:pt idx="1">
                  <c:v>560.46600000000001</c:v>
                </c:pt>
                <c:pt idx="2">
                  <c:v>54.146733166669037</c:v>
                </c:pt>
                <c:pt idx="3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6-4DCA-A567-249EBECA68AD}"/>
            </c:ext>
          </c:extLst>
        </c:ser>
        <c:ser>
          <c:idx val="1"/>
          <c:order val="1"/>
          <c:tx>
            <c:strRef>
              <c:f>Tabelle2!$D$5</c:f>
              <c:strCache>
                <c:ptCount val="1"/>
                <c:pt idx="0">
                  <c:v>M_n S1-Betrieb (Erwärmung Wicklung: Δ100K / Gehäuse: Δ80K)
M_n S1-Duty (Temp.rise winding: Δ100K / housing: Δ80K)</c:v>
                </c:pt>
              </c:strCache>
            </c:strRef>
          </c:tx>
          <c:spPr>
            <a:ln w="25400">
              <a:solidFill>
                <a:srgbClr val="003D7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3D70"/>
              </a:solidFill>
              <a:ln>
                <a:solidFill>
                  <a:srgbClr val="003D70"/>
                </a:solidFill>
                <a:prstDash val="solid"/>
              </a:ln>
            </c:spPr>
          </c:marker>
          <c:xVal>
            <c:numRef>
              <c:f>(Tabelle2!$B$6,Tabelle2!$B$8,Tabelle2!$B$10)</c:f>
              <c:numCache>
                <c:formatCode>0</c:formatCode>
                <c:ptCount val="3"/>
                <c:pt idx="0">
                  <c:v>0</c:v>
                </c:pt>
                <c:pt idx="1">
                  <c:v>222.22222222222223</c:v>
                </c:pt>
                <c:pt idx="2">
                  <c:v>396.20833580811615</c:v>
                </c:pt>
              </c:numCache>
            </c:numRef>
          </c:xVal>
          <c:yVal>
            <c:numRef>
              <c:f>(Tabelle2!$D$6,Tabelle2!$D$8,Tabelle2!$D$10)</c:f>
              <c:numCache>
                <c:formatCode>0.0</c:formatCode>
                <c:ptCount val="3"/>
                <c:pt idx="0">
                  <c:v>147.53699999999998</c:v>
                </c:pt>
                <c:pt idx="1">
                  <c:v>95.157000000000011</c:v>
                </c:pt>
                <c:pt idx="2">
                  <c:v>54.14673316666898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6-4DCA-A567-249EBECA68AD}"/>
            </c:ext>
          </c:extLst>
        </c:ser>
        <c:ser>
          <c:idx val="2"/>
          <c:order val="2"/>
          <c:tx>
            <c:strRef>
              <c:f>Tabelle2!$E$5</c:f>
              <c:strCache>
                <c:ptCount val="1"/>
                <c:pt idx="0">
                  <c:v>M_n S1-Betrieb (Erwärmung Wicklung: Δ60K / Gehäuse: Δ40K)
M_n S1-Duty (Temp.rise winding: Δ60K / housing: Δ40K)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1"/>
            <c:bubble3D val="0"/>
            <c:spPr>
              <a:ln w="22225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5B8-4E2A-8098-15DB596AA399}"/>
              </c:ext>
            </c:extLst>
          </c:dPt>
          <c:xVal>
            <c:numRef>
              <c:f>Tabelle2!$B$6:$B$7</c:f>
              <c:numCache>
                <c:formatCode>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Tabelle2!$E$6:$E$7</c:f>
              <c:numCache>
                <c:formatCode>General</c:formatCode>
                <c:ptCount val="2"/>
                <c:pt idx="0">
                  <c:v>114.363</c:v>
                </c:pt>
                <c:pt idx="1">
                  <c:v>91.665000000000006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8-4E2A-8098-15DB596A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2032"/>
        <c:axId val="1"/>
      </c:scatterChart>
      <c:valAx>
        <c:axId val="4290720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Speed (minˉ¹)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Torque (Nm)</a:t>
                </a:r>
              </a:p>
            </c:rich>
          </c:tx>
          <c:layout>
            <c:manualLayout>
              <c:xMode val="edge"/>
              <c:yMode val="edge"/>
              <c:x val="4.4834310744842646E-3"/>
              <c:y val="0.3278376695839433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2907203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465510420407782"/>
          <c:y val="3.6753820420640654E-2"/>
          <c:w val="0.29279619211619184"/>
          <c:h val="0.476809756790669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74544</xdr:colOff>
      <xdr:row>8</xdr:row>
      <xdr:rowOff>16565</xdr:rowOff>
    </xdr:from>
    <xdr:to>
      <xdr:col>7</xdr:col>
      <xdr:colOff>8283</xdr:colOff>
      <xdr:row>24</xdr:row>
      <xdr:rowOff>173934</xdr:rowOff>
    </xdr:to>
    <xdr:graphicFrame macro="">
      <xdr:nvGraphicFramePr>
        <xdr:cNvPr id="1132" name="Diagramm 6">
          <a:extLst>
            <a:ext uri="{FF2B5EF4-FFF2-40B4-BE49-F238E27FC236}">
              <a16:creationId xmlns:a16="http://schemas.microsoft.com/office/drawing/2014/main" id="{DAA804BF-2A03-2486-7541-FC0E8A204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66261</xdr:colOff>
      <xdr:row>0</xdr:row>
      <xdr:rowOff>160269</xdr:rowOff>
    </xdr:from>
    <xdr:to>
      <xdr:col>6</xdr:col>
      <xdr:colOff>472110</xdr:colOff>
      <xdr:row>3</xdr:row>
      <xdr:rowOff>2884</xdr:rowOff>
    </xdr:to>
    <xdr:pic>
      <xdr:nvPicPr>
        <xdr:cNvPr id="1133" name="Picture 2" descr="Georgii Kobold">
          <a:extLst>
            <a:ext uri="{FF2B5EF4-FFF2-40B4-BE49-F238E27FC236}">
              <a16:creationId xmlns:a16="http://schemas.microsoft.com/office/drawing/2014/main" id="{BF9455FE-2681-E750-1652-CCF4B7763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763" b="27022"/>
        <a:stretch>
          <a:fillRect/>
        </a:stretch>
      </xdr:blipFill>
      <xdr:spPr bwMode="auto">
        <a:xfrm>
          <a:off x="4919870" y="160269"/>
          <a:ext cx="3925957" cy="670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D479-A4FC-445B-82D4-DA6673D46C44}">
  <sheetPr>
    <pageSetUpPr fitToPage="1"/>
  </sheetPr>
  <dimension ref="A2:N50"/>
  <sheetViews>
    <sheetView tabSelected="1" view="pageBreakPreview" zoomScaleNormal="100" zoomScaleSheetLayoutView="100" workbookViewId="0">
      <selection activeCell="C6" sqref="C6:G6"/>
    </sheetView>
  </sheetViews>
  <sheetFormatPr baseColWidth="10" defaultRowHeight="13.5" x14ac:dyDescent="0.25"/>
  <cols>
    <col min="1" max="1" width="27.7109375" style="15" customWidth="1"/>
    <col min="2" max="2" width="23.140625" style="15" customWidth="1"/>
    <col min="3" max="3" width="9.140625" style="16" customWidth="1"/>
    <col min="4" max="4" width="11.5703125" style="16" customWidth="1"/>
    <col min="5" max="5" width="38.140625" style="15" customWidth="1"/>
    <col min="6" max="6" width="7.28515625" style="16" customWidth="1"/>
    <col min="7" max="7" width="11.5703125" style="16" bestFit="1" customWidth="1"/>
    <col min="8" max="8" width="4" style="16" hidden="1" customWidth="1"/>
    <col min="9" max="9" width="4.7109375" style="16" hidden="1" customWidth="1"/>
    <col min="10" max="10" width="3.85546875" style="16" hidden="1" customWidth="1"/>
    <col min="11" max="11" width="40.85546875" style="15" bestFit="1" customWidth="1"/>
    <col min="12" max="12" width="11.28515625" style="18" bestFit="1" customWidth="1"/>
    <col min="13" max="13" width="8.7109375" style="15" bestFit="1" customWidth="1"/>
    <col min="14" max="16384" width="11.42578125" style="15"/>
  </cols>
  <sheetData>
    <row r="2" spans="1:14" ht="18" customHeight="1" x14ac:dyDescent="0.55000000000000004">
      <c r="F2" s="17"/>
      <c r="G2" s="17"/>
      <c r="H2" s="17"/>
      <c r="I2" s="17"/>
      <c r="J2" s="17"/>
    </row>
    <row r="3" spans="1:14" ht="33.75" x14ac:dyDescent="0.5">
      <c r="A3" s="129" t="s">
        <v>19</v>
      </c>
      <c r="B3" s="129"/>
      <c r="C3" s="129"/>
      <c r="D3" s="129"/>
      <c r="F3" s="19"/>
      <c r="G3" s="19"/>
      <c r="H3" s="19"/>
      <c r="I3" s="19"/>
      <c r="J3" s="19"/>
    </row>
    <row r="4" spans="1:14" ht="14.25" thickBot="1" x14ac:dyDescent="0.3">
      <c r="A4" s="15" t="s">
        <v>29</v>
      </c>
      <c r="F4" s="19"/>
      <c r="G4" s="19"/>
      <c r="H4" s="19"/>
      <c r="I4" s="19"/>
      <c r="J4" s="19"/>
    </row>
    <row r="5" spans="1:14" ht="14.25" thickBot="1" x14ac:dyDescent="0.3">
      <c r="A5" s="20"/>
      <c r="B5" s="20"/>
      <c r="F5" s="21"/>
      <c r="G5" s="21"/>
      <c r="H5" s="21"/>
      <c r="I5" s="21"/>
      <c r="J5" s="21"/>
      <c r="K5" s="22" t="s">
        <v>22</v>
      </c>
      <c r="L5" s="23" t="s">
        <v>84</v>
      </c>
    </row>
    <row r="6" spans="1:14" ht="33" thickBot="1" x14ac:dyDescent="0.3">
      <c r="A6" s="24" t="s">
        <v>33</v>
      </c>
      <c r="B6" s="24" t="s">
        <v>34</v>
      </c>
      <c r="C6" s="142" t="s">
        <v>87</v>
      </c>
      <c r="D6" s="142"/>
      <c r="E6" s="142"/>
      <c r="F6" s="142"/>
      <c r="G6" s="142"/>
      <c r="H6" s="19"/>
      <c r="I6" s="19"/>
      <c r="J6" s="19"/>
      <c r="K6" s="25" t="s">
        <v>23</v>
      </c>
      <c r="L6" s="26">
        <f ca="1">TODAY()</f>
        <v>46050</v>
      </c>
    </row>
    <row r="7" spans="1:14" ht="14.25" thickBot="1" x14ac:dyDescent="0.3"/>
    <row r="8" spans="1:14" ht="33.75" customHeight="1" thickBot="1" x14ac:dyDescent="0.35">
      <c r="A8" s="138" t="s">
        <v>82</v>
      </c>
      <c r="B8" s="139"/>
      <c r="C8" s="139"/>
      <c r="D8" s="27"/>
      <c r="E8" s="27"/>
      <c r="F8" s="28"/>
      <c r="G8" s="171"/>
      <c r="K8" s="29" t="s">
        <v>35</v>
      </c>
      <c r="L8" s="143">
        <v>400</v>
      </c>
      <c r="M8" s="144"/>
    </row>
    <row r="9" spans="1:14" ht="17.25" customHeight="1" x14ac:dyDescent="0.25">
      <c r="A9" s="30"/>
      <c r="B9" s="172"/>
      <c r="C9" s="173"/>
      <c r="D9" s="173"/>
      <c r="E9" s="172"/>
      <c r="F9" s="173"/>
      <c r="G9" s="174"/>
      <c r="K9" s="31" t="s">
        <v>36</v>
      </c>
      <c r="L9" s="32">
        <v>2000</v>
      </c>
      <c r="M9" s="33">
        <f>L9/L30</f>
        <v>222.22222222222223</v>
      </c>
      <c r="N9" s="34">
        <v>400</v>
      </c>
    </row>
    <row r="10" spans="1:14" ht="15.75" x14ac:dyDescent="0.25">
      <c r="A10" s="30"/>
      <c r="B10" s="172"/>
      <c r="C10" s="173"/>
      <c r="D10" s="173"/>
      <c r="E10" s="172"/>
      <c r="F10" s="173"/>
      <c r="G10" s="174"/>
      <c r="K10" s="31" t="s">
        <v>37</v>
      </c>
      <c r="L10" s="35">
        <v>10.9</v>
      </c>
      <c r="M10" s="36">
        <f>L10*$L$30*$L$29/100</f>
        <v>95.157000000000011</v>
      </c>
      <c r="N10" s="37">
        <f>10.5*L30*L29/100</f>
        <v>91.665000000000006</v>
      </c>
    </row>
    <row r="11" spans="1:14" ht="19.5" thickBot="1" x14ac:dyDescent="0.4">
      <c r="A11" s="30"/>
      <c r="B11" s="172"/>
      <c r="C11" s="173"/>
      <c r="D11" s="173"/>
      <c r="E11" s="172"/>
      <c r="F11" s="173"/>
      <c r="G11" s="174"/>
      <c r="K11" s="31" t="s">
        <v>38</v>
      </c>
      <c r="L11" s="35">
        <v>16.899999999999999</v>
      </c>
      <c r="M11" s="36">
        <f>L11*$L$30*$L$29/100</f>
        <v>147.53699999999998</v>
      </c>
      <c r="N11" s="38">
        <f>13.1*L30*L29/100</f>
        <v>114.363</v>
      </c>
    </row>
    <row r="12" spans="1:14" ht="15.75" x14ac:dyDescent="0.25">
      <c r="A12" s="30"/>
      <c r="B12" s="172"/>
      <c r="C12" s="173"/>
      <c r="D12" s="173"/>
      <c r="E12" s="172"/>
      <c r="F12" s="173"/>
      <c r="G12" s="174"/>
      <c r="K12" s="31" t="s">
        <v>39</v>
      </c>
      <c r="L12" s="35">
        <v>64.2</v>
      </c>
      <c r="M12" s="39">
        <f>L12*$L$30*$L$29/100</f>
        <v>560.46600000000001</v>
      </c>
    </row>
    <row r="13" spans="1:14" ht="15.75" x14ac:dyDescent="0.25">
      <c r="A13" s="30"/>
      <c r="B13" s="172"/>
      <c r="C13" s="173"/>
      <c r="D13" s="173"/>
      <c r="E13" s="172"/>
      <c r="F13" s="173"/>
      <c r="G13" s="174"/>
      <c r="K13" s="31" t="s">
        <v>40</v>
      </c>
      <c r="L13" s="40">
        <v>6.8146456692913393</v>
      </c>
      <c r="M13" s="41"/>
    </row>
    <row r="14" spans="1:14" ht="18.75" x14ac:dyDescent="0.35">
      <c r="A14" s="30"/>
      <c r="B14" s="172"/>
      <c r="C14" s="173"/>
      <c r="D14" s="173"/>
      <c r="E14" s="172"/>
      <c r="F14" s="173"/>
      <c r="G14" s="174"/>
      <c r="K14" s="31" t="s">
        <v>41</v>
      </c>
      <c r="L14" s="40">
        <v>10.496894409937887</v>
      </c>
      <c r="M14" s="41"/>
    </row>
    <row r="15" spans="1:14" ht="15.75" x14ac:dyDescent="0.25">
      <c r="A15" s="30"/>
      <c r="B15" s="172"/>
      <c r="C15" s="173"/>
      <c r="D15" s="173"/>
      <c r="E15" s="172"/>
      <c r="F15" s="173"/>
      <c r="G15" s="174"/>
      <c r="K15" s="31" t="s">
        <v>42</v>
      </c>
      <c r="L15" s="42">
        <v>44.6</v>
      </c>
      <c r="M15" s="43"/>
    </row>
    <row r="16" spans="1:14" ht="15.75" x14ac:dyDescent="0.25">
      <c r="A16" s="30"/>
      <c r="B16" s="172"/>
      <c r="C16" s="173"/>
      <c r="D16" s="173"/>
      <c r="E16" s="172"/>
      <c r="F16" s="173"/>
      <c r="G16" s="174"/>
      <c r="K16" s="31" t="s">
        <v>43</v>
      </c>
      <c r="L16" s="42">
        <v>106.3</v>
      </c>
      <c r="M16" s="43"/>
    </row>
    <row r="17" spans="1:13" ht="15.75" x14ac:dyDescent="0.25">
      <c r="A17" s="30"/>
      <c r="B17" s="172"/>
      <c r="C17" s="173"/>
      <c r="D17" s="173"/>
      <c r="E17" s="172"/>
      <c r="F17" s="173"/>
      <c r="G17" s="174"/>
      <c r="K17" s="31" t="s">
        <v>44</v>
      </c>
      <c r="L17" s="42">
        <v>0.6</v>
      </c>
      <c r="M17" s="43"/>
    </row>
    <row r="18" spans="1:13" ht="15.75" x14ac:dyDescent="0.25">
      <c r="A18" s="30"/>
      <c r="B18" s="172"/>
      <c r="C18" s="173"/>
      <c r="D18" s="173"/>
      <c r="E18" s="172"/>
      <c r="F18" s="173"/>
      <c r="G18" s="174"/>
      <c r="K18" s="31" t="s">
        <v>45</v>
      </c>
      <c r="L18" s="42">
        <v>3.2</v>
      </c>
      <c r="M18" s="43"/>
    </row>
    <row r="19" spans="1:13" ht="15.75" x14ac:dyDescent="0.25">
      <c r="A19" s="30"/>
      <c r="B19" s="172"/>
      <c r="C19" s="173"/>
      <c r="D19" s="173"/>
      <c r="E19" s="172"/>
      <c r="F19" s="173"/>
      <c r="G19" s="174"/>
      <c r="K19" s="31" t="s">
        <v>10</v>
      </c>
      <c r="L19" s="42">
        <v>6</v>
      </c>
      <c r="M19" s="43"/>
    </row>
    <row r="20" spans="1:13" ht="15.75" x14ac:dyDescent="0.25">
      <c r="A20" s="30"/>
      <c r="B20" s="172"/>
      <c r="C20" s="173"/>
      <c r="D20" s="173"/>
      <c r="E20" s="172"/>
      <c r="F20" s="173"/>
      <c r="G20" s="174"/>
      <c r="K20" s="44" t="s">
        <v>12</v>
      </c>
      <c r="L20" s="42">
        <v>679</v>
      </c>
      <c r="M20" s="43"/>
    </row>
    <row r="21" spans="1:13" ht="15.75" x14ac:dyDescent="0.25">
      <c r="A21" s="30"/>
      <c r="B21" s="172"/>
      <c r="C21" s="173"/>
      <c r="D21" s="173"/>
      <c r="E21" s="172"/>
      <c r="F21" s="173"/>
      <c r="G21" s="174"/>
      <c r="K21" s="31" t="s">
        <v>11</v>
      </c>
      <c r="L21" s="32">
        <v>39</v>
      </c>
      <c r="M21" s="45">
        <v>40</v>
      </c>
    </row>
    <row r="22" spans="1:13" ht="15.75" x14ac:dyDescent="0.25">
      <c r="A22" s="30"/>
      <c r="B22" s="172"/>
      <c r="C22" s="173"/>
      <c r="D22" s="173"/>
      <c r="E22" s="172"/>
      <c r="F22" s="173"/>
      <c r="G22" s="174"/>
      <c r="K22" s="31" t="s">
        <v>16</v>
      </c>
      <c r="L22" s="32">
        <v>47.8</v>
      </c>
      <c r="M22" s="46"/>
    </row>
    <row r="23" spans="1:13" ht="15.75" x14ac:dyDescent="0.25">
      <c r="A23" s="30"/>
      <c r="B23" s="172"/>
      <c r="C23" s="173"/>
      <c r="D23" s="173"/>
      <c r="E23" s="172"/>
      <c r="F23" s="173"/>
      <c r="G23" s="174"/>
      <c r="K23" s="31" t="s">
        <v>46</v>
      </c>
      <c r="L23" s="47">
        <v>79</v>
      </c>
      <c r="M23" s="48"/>
    </row>
    <row r="24" spans="1:13" ht="15.75" x14ac:dyDescent="0.25">
      <c r="A24" s="30"/>
      <c r="B24" s="172"/>
      <c r="C24" s="173"/>
      <c r="D24" s="173"/>
      <c r="E24" s="172"/>
      <c r="F24" s="173"/>
      <c r="G24" s="174"/>
      <c r="K24" s="31" t="s">
        <v>0</v>
      </c>
      <c r="L24" s="42" t="s">
        <v>24</v>
      </c>
      <c r="M24" s="43"/>
    </row>
    <row r="25" spans="1:13" ht="15.75" x14ac:dyDescent="0.25">
      <c r="A25" s="30"/>
      <c r="B25" s="172"/>
      <c r="C25" s="173"/>
      <c r="D25" s="173"/>
      <c r="E25" s="172"/>
      <c r="F25" s="173"/>
      <c r="G25" s="174"/>
      <c r="K25" s="31" t="s">
        <v>1</v>
      </c>
      <c r="L25" s="42" t="s">
        <v>13</v>
      </c>
      <c r="M25" s="43"/>
    </row>
    <row r="26" spans="1:13" ht="4.5" customHeight="1" thickBot="1" x14ac:dyDescent="0.3">
      <c r="A26" s="30"/>
      <c r="B26" s="172"/>
      <c r="C26" s="173"/>
      <c r="D26" s="173"/>
      <c r="E26" s="172"/>
      <c r="F26" s="173"/>
      <c r="G26" s="174"/>
      <c r="K26" s="49" t="s">
        <v>2</v>
      </c>
      <c r="L26" s="50" t="s">
        <v>14</v>
      </c>
      <c r="M26" s="51"/>
    </row>
    <row r="27" spans="1:13" ht="96.75" customHeight="1" thickBot="1" x14ac:dyDescent="0.3">
      <c r="A27" s="52" t="s">
        <v>47</v>
      </c>
      <c r="B27" s="53"/>
      <c r="C27" s="54" t="s">
        <v>48</v>
      </c>
      <c r="D27" s="125" t="s">
        <v>85</v>
      </c>
      <c r="E27" s="25"/>
      <c r="F27" s="55" t="s">
        <v>48</v>
      </c>
      <c r="G27" s="125" t="s">
        <v>86</v>
      </c>
      <c r="H27" s="56"/>
      <c r="I27" s="56"/>
      <c r="J27" s="56"/>
    </row>
    <row r="28" spans="1:13" s="64" customFormat="1" ht="30" customHeight="1" thickBot="1" x14ac:dyDescent="0.3">
      <c r="A28" s="140" t="s">
        <v>49</v>
      </c>
      <c r="B28" s="141"/>
      <c r="C28" s="57">
        <f>L8</f>
        <v>400</v>
      </c>
      <c r="D28" s="58">
        <f>L8</f>
        <v>400</v>
      </c>
      <c r="E28" s="59"/>
      <c r="F28" s="60"/>
      <c r="G28" s="61"/>
      <c r="H28" s="62"/>
      <c r="I28" s="62"/>
      <c r="J28" s="62"/>
      <c r="K28" s="63" t="s">
        <v>17</v>
      </c>
      <c r="L28" s="18"/>
      <c r="M28" s="15"/>
    </row>
    <row r="29" spans="1:13" s="64" customFormat="1" ht="29.25" x14ac:dyDescent="0.25">
      <c r="A29" s="151" t="s">
        <v>50</v>
      </c>
      <c r="B29" s="152"/>
      <c r="C29" s="65">
        <f>L9</f>
        <v>2000</v>
      </c>
      <c r="D29" s="66">
        <f>M9</f>
        <v>222.22222222222223</v>
      </c>
      <c r="E29" s="67" t="s">
        <v>51</v>
      </c>
      <c r="F29" s="65">
        <f>L19</f>
        <v>6</v>
      </c>
      <c r="G29" s="66"/>
      <c r="H29" s="68"/>
      <c r="I29" s="68"/>
      <c r="J29" s="68"/>
      <c r="K29" s="69" t="s">
        <v>15</v>
      </c>
      <c r="L29" s="70">
        <v>97</v>
      </c>
      <c r="M29" s="71"/>
    </row>
    <row r="30" spans="1:13" s="64" customFormat="1" ht="29.25" x14ac:dyDescent="0.25">
      <c r="A30" s="151" t="s">
        <v>52</v>
      </c>
      <c r="B30" s="152"/>
      <c r="C30" s="72">
        <f>(C29*C31*PI()/30)/1000</f>
        <v>2.2828906616085827</v>
      </c>
      <c r="D30" s="73">
        <f>(D29*D31*PI()/30)/1000</f>
        <v>2.2144039417603256</v>
      </c>
      <c r="E30" s="67" t="s">
        <v>53</v>
      </c>
      <c r="F30" s="65">
        <f>L17</f>
        <v>0.6</v>
      </c>
      <c r="G30" s="66"/>
      <c r="H30" s="68"/>
      <c r="I30" s="68"/>
      <c r="J30" s="68"/>
      <c r="K30" s="74" t="s">
        <v>18</v>
      </c>
      <c r="L30" s="41">
        <v>9</v>
      </c>
      <c r="M30" s="71"/>
    </row>
    <row r="31" spans="1:13" s="64" customFormat="1" ht="29.25" x14ac:dyDescent="0.25">
      <c r="A31" s="151" t="s">
        <v>54</v>
      </c>
      <c r="B31" s="152"/>
      <c r="C31" s="65">
        <f>L10</f>
        <v>10.9</v>
      </c>
      <c r="D31" s="66">
        <f>M10</f>
        <v>95.157000000000011</v>
      </c>
      <c r="E31" s="67" t="s">
        <v>55</v>
      </c>
      <c r="F31" s="65">
        <f>L18</f>
        <v>3.2</v>
      </c>
      <c r="G31" s="66"/>
      <c r="H31" s="68"/>
      <c r="I31" s="68"/>
      <c r="J31" s="68"/>
      <c r="K31" s="74" t="s">
        <v>21</v>
      </c>
      <c r="L31" s="75">
        <v>830</v>
      </c>
      <c r="M31" s="18"/>
    </row>
    <row r="32" spans="1:13" s="64" customFormat="1" ht="30" thickBot="1" x14ac:dyDescent="0.3">
      <c r="A32" s="153" t="s">
        <v>56</v>
      </c>
      <c r="B32" s="154"/>
      <c r="C32" s="76">
        <f>L13</f>
        <v>6.8146456692913393</v>
      </c>
      <c r="D32" s="77"/>
      <c r="E32" s="78" t="s">
        <v>57</v>
      </c>
      <c r="F32" s="79">
        <f>F31/F30</f>
        <v>5.3333333333333339</v>
      </c>
      <c r="G32" s="80"/>
      <c r="H32" s="81"/>
      <c r="I32" s="81"/>
      <c r="J32" s="81"/>
      <c r="K32" s="74" t="s">
        <v>25</v>
      </c>
      <c r="L32" s="75">
        <v>750</v>
      </c>
      <c r="M32" s="18"/>
    </row>
    <row r="33" spans="1:13" s="64" customFormat="1" ht="4.5" customHeight="1" thickBot="1" x14ac:dyDescent="0.3">
      <c r="A33" s="136"/>
      <c r="B33" s="137"/>
      <c r="C33" s="82"/>
      <c r="D33" s="83"/>
      <c r="E33" s="84"/>
      <c r="F33" s="85"/>
      <c r="G33" s="86"/>
      <c r="H33" s="87"/>
      <c r="I33" s="87"/>
      <c r="J33" s="87"/>
      <c r="K33" s="88"/>
      <c r="L33" s="88"/>
    </row>
    <row r="34" spans="1:13" s="94" customFormat="1" ht="27.75" customHeight="1" x14ac:dyDescent="0.25">
      <c r="A34" s="130" t="s">
        <v>58</v>
      </c>
      <c r="B34" s="131"/>
      <c r="C34" s="89">
        <f>C31/C32</f>
        <v>1.5994962216624684</v>
      </c>
      <c r="D34" s="90"/>
      <c r="E34" s="91"/>
      <c r="F34" s="92"/>
      <c r="G34" s="93"/>
      <c r="H34" s="87"/>
      <c r="I34" s="87"/>
      <c r="J34" s="87"/>
      <c r="K34" s="74" t="s">
        <v>20</v>
      </c>
      <c r="L34" s="75">
        <v>4000</v>
      </c>
      <c r="M34" s="18"/>
    </row>
    <row r="35" spans="1:13" s="64" customFormat="1" ht="30" thickBot="1" x14ac:dyDescent="0.3">
      <c r="A35" s="134" t="s">
        <v>59</v>
      </c>
      <c r="B35" s="135"/>
      <c r="C35" s="95">
        <f>L16</f>
        <v>106.3</v>
      </c>
      <c r="D35" s="77"/>
      <c r="E35" s="78" t="s">
        <v>60</v>
      </c>
      <c r="F35" s="76">
        <f>L20</f>
        <v>679</v>
      </c>
      <c r="G35" s="77"/>
      <c r="H35" s="68"/>
      <c r="I35" s="68"/>
      <c r="J35" s="68"/>
      <c r="K35" s="96" t="s">
        <v>26</v>
      </c>
      <c r="L35" s="97" t="s">
        <v>27</v>
      </c>
      <c r="M35" s="98"/>
    </row>
    <row r="36" spans="1:13" s="64" customFormat="1" ht="4.5" customHeight="1" thickBot="1" x14ac:dyDescent="0.3">
      <c r="A36" s="136"/>
      <c r="B36" s="137"/>
      <c r="C36" s="82"/>
      <c r="D36" s="83"/>
      <c r="E36" s="84"/>
      <c r="F36" s="82"/>
      <c r="G36" s="99"/>
      <c r="H36" s="68"/>
      <c r="I36" s="68"/>
      <c r="J36" s="68"/>
      <c r="L36" s="100"/>
    </row>
    <row r="37" spans="1:13" s="64" customFormat="1" ht="29.25" x14ac:dyDescent="0.25">
      <c r="A37" s="130" t="s">
        <v>61</v>
      </c>
      <c r="B37" s="131"/>
      <c r="C37" s="101">
        <f>L11</f>
        <v>16.899999999999999</v>
      </c>
      <c r="D37" s="102">
        <f>M11</f>
        <v>147.53699999999998</v>
      </c>
      <c r="E37" s="91" t="s">
        <v>62</v>
      </c>
      <c r="F37" s="103" t="str">
        <f>L24</f>
        <v>IP69K</v>
      </c>
      <c r="G37" s="104"/>
      <c r="H37" s="68"/>
      <c r="I37" s="68"/>
      <c r="J37" s="68"/>
      <c r="L37" s="100"/>
    </row>
    <row r="38" spans="1:13" s="64" customFormat="1" ht="29.25" x14ac:dyDescent="0.25">
      <c r="A38" s="132" t="s">
        <v>63</v>
      </c>
      <c r="B38" s="133"/>
      <c r="C38" s="65">
        <f>L14</f>
        <v>10.496894409937887</v>
      </c>
      <c r="D38" s="66"/>
      <c r="E38" s="67" t="s">
        <v>64</v>
      </c>
      <c r="F38" s="65" t="str">
        <f>L25</f>
        <v>S1</v>
      </c>
      <c r="G38" s="66"/>
      <c r="H38" s="68"/>
      <c r="I38" s="68"/>
      <c r="J38" s="68"/>
      <c r="L38" s="100"/>
    </row>
    <row r="39" spans="1:13" s="64" customFormat="1" ht="30" thickBot="1" x14ac:dyDescent="0.3">
      <c r="A39" s="134" t="s">
        <v>65</v>
      </c>
      <c r="B39" s="135"/>
      <c r="C39" s="79">
        <f>C31/C32</f>
        <v>1.5994962216624684</v>
      </c>
      <c r="D39" s="80"/>
      <c r="E39" s="78" t="s">
        <v>66</v>
      </c>
      <c r="F39" s="76" t="str">
        <f>L26</f>
        <v>F</v>
      </c>
      <c r="G39" s="77"/>
      <c r="H39" s="68"/>
      <c r="I39" s="68"/>
      <c r="J39" s="68"/>
      <c r="L39" s="100"/>
    </row>
    <row r="40" spans="1:13" s="64" customFormat="1" ht="4.5" customHeight="1" thickBot="1" x14ac:dyDescent="0.3">
      <c r="A40" s="136"/>
      <c r="B40" s="137"/>
      <c r="C40" s="85"/>
      <c r="D40" s="105"/>
      <c r="E40" s="84"/>
      <c r="F40" s="82"/>
      <c r="G40" s="83"/>
      <c r="H40" s="68"/>
      <c r="I40" s="68"/>
      <c r="J40" s="68"/>
      <c r="L40" s="100"/>
    </row>
    <row r="41" spans="1:13" s="94" customFormat="1" ht="29.25" x14ac:dyDescent="0.25">
      <c r="A41" s="130" t="s">
        <v>67</v>
      </c>
      <c r="B41" s="131"/>
      <c r="C41" s="92">
        <f>L12</f>
        <v>64.2</v>
      </c>
      <c r="D41" s="106">
        <f>M12</f>
        <v>560.46600000000001</v>
      </c>
      <c r="E41" s="91" t="s">
        <v>68</v>
      </c>
      <c r="F41" s="92">
        <f>L21</f>
        <v>39</v>
      </c>
      <c r="G41" s="106">
        <f>M21</f>
        <v>40</v>
      </c>
      <c r="H41" s="107"/>
      <c r="I41" s="107"/>
      <c r="J41" s="107"/>
      <c r="L41" s="108"/>
    </row>
    <row r="42" spans="1:13" s="64" customFormat="1" ht="29.25" x14ac:dyDescent="0.25">
      <c r="A42" s="132" t="s">
        <v>69</v>
      </c>
      <c r="B42" s="133"/>
      <c r="C42" s="65">
        <f>L15</f>
        <v>44.6</v>
      </c>
      <c r="D42" s="66"/>
      <c r="E42" s="67" t="s">
        <v>70</v>
      </c>
      <c r="F42" s="65" t="s">
        <v>28</v>
      </c>
      <c r="G42" s="66"/>
      <c r="H42" s="68"/>
      <c r="I42" s="68"/>
      <c r="J42" s="68"/>
      <c r="L42" s="100"/>
    </row>
    <row r="43" spans="1:13" s="94" customFormat="1" ht="30.75" customHeight="1" thickBot="1" x14ac:dyDescent="0.3">
      <c r="A43" s="134" t="s">
        <v>71</v>
      </c>
      <c r="B43" s="135"/>
      <c r="C43" s="109">
        <f>C41/C42</f>
        <v>1.4394618834080717</v>
      </c>
      <c r="D43" s="110"/>
      <c r="E43" s="111" t="s">
        <v>72</v>
      </c>
      <c r="F43" s="112">
        <f>L23</f>
        <v>79</v>
      </c>
      <c r="G43" s="113"/>
      <c r="H43" s="107"/>
      <c r="I43" s="107"/>
      <c r="J43" s="107"/>
      <c r="L43" s="108"/>
    </row>
    <row r="44" spans="1:13" s="94" customFormat="1" ht="32.25" customHeight="1" thickBot="1" x14ac:dyDescent="0.3">
      <c r="A44" s="155" t="s">
        <v>73</v>
      </c>
      <c r="B44" s="156"/>
      <c r="C44" s="156"/>
      <c r="D44" s="157"/>
      <c r="E44" s="114" t="s">
        <v>74</v>
      </c>
      <c r="F44" s="166" t="str">
        <f>L35</f>
        <v>-10 bis/to 25</v>
      </c>
      <c r="G44" s="167"/>
      <c r="H44" s="115"/>
      <c r="I44" s="115"/>
      <c r="J44" s="115"/>
      <c r="L44" s="108"/>
    </row>
    <row r="45" spans="1:13" s="94" customFormat="1" ht="28.5" customHeight="1" x14ac:dyDescent="0.25">
      <c r="A45" s="149" t="s">
        <v>75</v>
      </c>
      <c r="B45" s="150"/>
      <c r="C45" s="150"/>
      <c r="D45" s="116">
        <f>L29</f>
        <v>97</v>
      </c>
      <c r="E45" s="158" t="s">
        <v>32</v>
      </c>
      <c r="F45" s="159"/>
      <c r="G45" s="160"/>
      <c r="K45" s="117"/>
      <c r="L45" s="108"/>
    </row>
    <row r="46" spans="1:13" s="94" customFormat="1" ht="28.5" customHeight="1" x14ac:dyDescent="0.25">
      <c r="A46" s="147" t="s">
        <v>76</v>
      </c>
      <c r="B46" s="148"/>
      <c r="C46" s="148"/>
      <c r="D46" s="118">
        <f>L30</f>
        <v>9</v>
      </c>
      <c r="E46" s="161"/>
      <c r="F46" s="175"/>
      <c r="G46" s="162"/>
    </row>
    <row r="47" spans="1:13" ht="28.5" customHeight="1" thickBot="1" x14ac:dyDescent="0.3">
      <c r="A47" s="134" t="s">
        <v>77</v>
      </c>
      <c r="B47" s="135"/>
      <c r="C47" s="135"/>
      <c r="D47" s="119">
        <f>L31</f>
        <v>830</v>
      </c>
      <c r="E47" s="163"/>
      <c r="F47" s="164"/>
      <c r="G47" s="165"/>
      <c r="H47" s="94"/>
      <c r="I47" s="94"/>
      <c r="J47" s="94"/>
    </row>
    <row r="48" spans="1:13" ht="28.5" customHeight="1" x14ac:dyDescent="0.25">
      <c r="A48" s="145" t="s">
        <v>78</v>
      </c>
      <c r="B48" s="146"/>
      <c r="C48" s="146"/>
      <c r="D48" s="120">
        <f>L32</f>
        <v>750</v>
      </c>
      <c r="E48" s="168" t="s">
        <v>79</v>
      </c>
      <c r="F48" s="169"/>
      <c r="G48" s="170"/>
      <c r="H48" s="121"/>
      <c r="I48" s="121"/>
      <c r="J48" s="121"/>
      <c r="K48" s="94"/>
    </row>
    <row r="49" spans="1:11" ht="28.5" customHeight="1" thickBot="1" x14ac:dyDescent="0.3">
      <c r="A49" s="134" t="s">
        <v>80</v>
      </c>
      <c r="B49" s="135"/>
      <c r="C49" s="135"/>
      <c r="D49" s="119">
        <f>L34</f>
        <v>4000</v>
      </c>
      <c r="E49" s="126" t="s">
        <v>81</v>
      </c>
      <c r="F49" s="127"/>
      <c r="G49" s="128"/>
      <c r="H49" s="122"/>
      <c r="I49" s="122"/>
      <c r="J49" s="122"/>
      <c r="K49" s="123"/>
    </row>
    <row r="50" spans="1:11" ht="16.5" thickBot="1" x14ac:dyDescent="0.3">
      <c r="A50" s="176"/>
      <c r="B50" s="177"/>
      <c r="C50" s="178"/>
      <c r="D50" s="178"/>
      <c r="E50" s="179"/>
      <c r="F50" s="180" t="str">
        <f>L5</f>
        <v>BOT</v>
      </c>
      <c r="G50" s="181">
        <f ca="1">L6</f>
        <v>46050</v>
      </c>
      <c r="H50" s="124"/>
      <c r="I50" s="124"/>
      <c r="J50" s="124"/>
    </row>
  </sheetData>
  <mergeCells count="30">
    <mergeCell ref="L8:M8"/>
    <mergeCell ref="A48:C48"/>
    <mergeCell ref="A47:C47"/>
    <mergeCell ref="A49:C49"/>
    <mergeCell ref="A46:C46"/>
    <mergeCell ref="A45:C45"/>
    <mergeCell ref="A29:B29"/>
    <mergeCell ref="A30:B30"/>
    <mergeCell ref="A31:B31"/>
    <mergeCell ref="A32:B32"/>
    <mergeCell ref="A44:D44"/>
    <mergeCell ref="A33:B33"/>
    <mergeCell ref="A34:B34"/>
    <mergeCell ref="E45:G47"/>
    <mergeCell ref="F44:G44"/>
    <mergeCell ref="E48:G48"/>
    <mergeCell ref="E49:G49"/>
    <mergeCell ref="A3:D3"/>
    <mergeCell ref="A41:B41"/>
    <mergeCell ref="A42:B42"/>
    <mergeCell ref="A43:B43"/>
    <mergeCell ref="A40:B40"/>
    <mergeCell ref="A8:C8"/>
    <mergeCell ref="A35:B35"/>
    <mergeCell ref="A37:B37"/>
    <mergeCell ref="A36:B36"/>
    <mergeCell ref="A38:B38"/>
    <mergeCell ref="A39:B39"/>
    <mergeCell ref="A28:B28"/>
    <mergeCell ref="C6:G6"/>
  </mergeCells>
  <phoneticPr fontId="2" type="noConversion"/>
  <printOptions horizontalCentered="1"/>
  <pageMargins left="0.25" right="0.25" top="0.3" bottom="0.36" header="0.3" footer="0.3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44C6-80CD-407F-92E0-1D73805D06D8}">
  <dimension ref="A3:H21"/>
  <sheetViews>
    <sheetView workbookViewId="0">
      <selection activeCell="E16" sqref="E16:I21"/>
    </sheetView>
  </sheetViews>
  <sheetFormatPr baseColWidth="10" defaultRowHeight="12.75" x14ac:dyDescent="0.2"/>
  <cols>
    <col min="2" max="2" width="14.85546875" style="4" customWidth="1"/>
    <col min="3" max="3" width="23.42578125" bestFit="1" customWidth="1"/>
    <col min="4" max="4" width="48.140625" customWidth="1"/>
    <col min="5" max="5" width="46.42578125" customWidth="1"/>
  </cols>
  <sheetData>
    <row r="3" spans="1:8" ht="18" x14ac:dyDescent="0.25">
      <c r="B3" s="2" t="s">
        <v>4</v>
      </c>
    </row>
    <row r="4" spans="1:8" s="1" customFormat="1" x14ac:dyDescent="0.2">
      <c r="B4" s="3"/>
    </row>
    <row r="5" spans="1:8" ht="57" x14ac:dyDescent="0.2">
      <c r="A5" s="12"/>
      <c r="B5" s="13" t="s">
        <v>3</v>
      </c>
      <c r="C5" s="14" t="s">
        <v>83</v>
      </c>
      <c r="D5" s="14" t="s">
        <v>30</v>
      </c>
      <c r="E5" s="14" t="s">
        <v>31</v>
      </c>
    </row>
    <row r="6" spans="1:8" x14ac:dyDescent="0.2">
      <c r="B6" s="8">
        <v>0</v>
      </c>
      <c r="C6" s="6">
        <f>Tabelle1!D41</f>
        <v>560.46600000000001</v>
      </c>
      <c r="D6" s="6">
        <f>Tabelle1!D37</f>
        <v>147.53699999999998</v>
      </c>
      <c r="E6">
        <f>Tabelle1!N11</f>
        <v>114.363</v>
      </c>
    </row>
    <row r="7" spans="1:8" x14ac:dyDescent="0.2">
      <c r="B7" s="8">
        <v>100</v>
      </c>
      <c r="C7" s="6"/>
      <c r="D7" s="6"/>
      <c r="E7">
        <f>Tabelle1!N10</f>
        <v>91.665000000000006</v>
      </c>
    </row>
    <row r="8" spans="1:8" x14ac:dyDescent="0.2">
      <c r="B8" s="8">
        <f>Tabelle1!D29</f>
        <v>222.22222222222223</v>
      </c>
      <c r="C8" s="6"/>
      <c r="D8" s="6">
        <f>Tabelle1!D31</f>
        <v>95.157000000000011</v>
      </c>
    </row>
    <row r="9" spans="1:8" x14ac:dyDescent="0.2">
      <c r="B9" s="8">
        <f>(((-1*(-2*C16*0.85*C17))-SQRT(((-2*C16*0.85*C17)^2)-4*(C17^2-C20^2*C19^2*4*(PI())^2*(C21^2/60^2))*((C16*0.85)^2-C20^2*C18^2)))/(2*(C17^2-C20^2*C19^2*4*(PI())^2*(C21^2/60^2))))/Tabelle1!L30</f>
        <v>191.46568999831624</v>
      </c>
      <c r="C9" s="6">
        <f>C6</f>
        <v>560.46600000000001</v>
      </c>
      <c r="D9" s="6"/>
    </row>
    <row r="10" spans="1:8" x14ac:dyDescent="0.2">
      <c r="B10" s="8">
        <f>((Tabelle1!D37-(Tabelle1!D41-((Tabelle1!D41*B9)/(B9-B11))))/((Tabelle1!D41/(B9-B11))-((Tabelle1!D31-Tabelle1!D37)/Tabelle1!D29)))</f>
        <v>396.20833580811615</v>
      </c>
      <c r="C10" s="6">
        <f>((C6/(Tabelle2!B9-Tabelle2!B11))*Tabelle2!B10+(C6-((C6*Tabelle2!B9)/(Tabelle2!B9-Tabelle2!B11))))</f>
        <v>54.146733166669037</v>
      </c>
      <c r="D10" s="6">
        <f>(((Tabelle1!D31-Tabelle1!D37)/Tabelle1!D29)*Tabelle2!B10+Tabelle1!D37)</f>
        <v>54.14673316666898</v>
      </c>
    </row>
    <row r="11" spans="1:8" x14ac:dyDescent="0.2">
      <c r="B11" s="8">
        <f>Tabelle1!C28/Tabelle1!C35*1000/Tabelle1!L30</f>
        <v>418.10389881885652</v>
      </c>
      <c r="C11" s="7">
        <v>0</v>
      </c>
      <c r="D11" s="6"/>
    </row>
    <row r="14" spans="1:8" ht="18" x14ac:dyDescent="0.25">
      <c r="B14" s="9" t="s">
        <v>9</v>
      </c>
    </row>
    <row r="16" spans="1:8" x14ac:dyDescent="0.2">
      <c r="B16" s="5" t="s">
        <v>6</v>
      </c>
      <c r="C16" s="7">
        <f>Tabelle1!D28</f>
        <v>400</v>
      </c>
      <c r="E16" t="s">
        <v>96</v>
      </c>
      <c r="F16">
        <f>C17*60/2/PI()/1000</f>
        <v>1.0150902270401082E-3</v>
      </c>
      <c r="G16" t="s">
        <v>98</v>
      </c>
      <c r="H16" t="s">
        <v>97</v>
      </c>
    </row>
    <row r="17" spans="2:7" x14ac:dyDescent="0.2">
      <c r="B17" s="5" t="s">
        <v>90</v>
      </c>
      <c r="C17">
        <f>Tabelle1!C35/1000</f>
        <v>0.10629999999999999</v>
      </c>
      <c r="E17" t="s">
        <v>94</v>
      </c>
      <c r="F17">
        <f>C16/SQRT((3))</f>
        <v>230.94010767585033</v>
      </c>
      <c r="G17" t="s">
        <v>95</v>
      </c>
    </row>
    <row r="18" spans="2:7" x14ac:dyDescent="0.2">
      <c r="B18" s="5" t="s">
        <v>7</v>
      </c>
      <c r="C18">
        <f>Tabelle1!F30</f>
        <v>0.6</v>
      </c>
      <c r="E18" t="s">
        <v>88</v>
      </c>
      <c r="F18">
        <f>SQRT(F17^2-(C18*C20)^2)/(F16+C19*C20)</f>
        <v>1595.8835874240342</v>
      </c>
      <c r="G18" t="s">
        <v>99</v>
      </c>
    </row>
    <row r="19" spans="2:7" x14ac:dyDescent="0.2">
      <c r="B19" s="5" t="s">
        <v>89</v>
      </c>
      <c r="C19">
        <f>Tabelle1!F31/1000</f>
        <v>3.2000000000000002E-3</v>
      </c>
      <c r="E19" t="s">
        <v>91</v>
      </c>
      <c r="F19">
        <f>60*F18/2/PI()/C21</f>
        <v>2539.9276153776195</v>
      </c>
      <c r="G19" t="s">
        <v>100</v>
      </c>
    </row>
    <row r="20" spans="2:7" x14ac:dyDescent="0.2">
      <c r="B20" s="5" t="s">
        <v>8</v>
      </c>
      <c r="C20">
        <f>Tabelle1!L15</f>
        <v>44.6</v>
      </c>
      <c r="E20" t="s">
        <v>92</v>
      </c>
      <c r="F20">
        <f>3*F17*C20/F18</f>
        <v>19.362180706993229</v>
      </c>
      <c r="G20" t="s">
        <v>101</v>
      </c>
    </row>
    <row r="21" spans="2:7" x14ac:dyDescent="0.2">
      <c r="B21" s="5" t="s">
        <v>5</v>
      </c>
      <c r="C21">
        <f>Tabelle1!L19</f>
        <v>6</v>
      </c>
      <c r="E21" t="s">
        <v>93</v>
      </c>
      <c r="F21">
        <f>F20*F18</f>
        <v>30899.786407028776</v>
      </c>
      <c r="G21" t="s">
        <v>102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1C65-340E-4E50-8064-D44663695099}">
  <dimension ref="B5:D6"/>
  <sheetViews>
    <sheetView workbookViewId="0">
      <selection activeCell="D6" sqref="D6"/>
    </sheetView>
  </sheetViews>
  <sheetFormatPr baseColWidth="10" defaultRowHeight="12.75" x14ac:dyDescent="0.2"/>
  <sheetData>
    <row r="5" spans="2:4" x14ac:dyDescent="0.2">
      <c r="B5" s="11">
        <v>5.7140000000000003E-2</v>
      </c>
      <c r="C5" s="11">
        <v>2.4080000000000001E-2</v>
      </c>
    </row>
    <row r="6" spans="2:4" x14ac:dyDescent="0.2">
      <c r="B6" s="10">
        <f>B5*B5</f>
        <v>3.2649796000000005E-3</v>
      </c>
      <c r="C6" s="10">
        <f>C5*C5</f>
        <v>5.7984639999999999E-4</v>
      </c>
      <c r="D6" s="10">
        <f>SQRT(B6+C6)*1000</f>
        <v>62.006660932515956</v>
      </c>
    </row>
  </sheetData>
  <phoneticPr fontId="2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Company>Georgii-Kobold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</dc:creator>
  <cp:lastModifiedBy>Zeller, Tobias</cp:lastModifiedBy>
  <cp:lastPrinted>2026-01-23T14:59:49Z</cp:lastPrinted>
  <dcterms:created xsi:type="dcterms:W3CDTF">2012-11-07T08:45:20Z</dcterms:created>
  <dcterms:modified xsi:type="dcterms:W3CDTF">2026-01-28T10:31:15Z</dcterms:modified>
</cp:coreProperties>
</file>